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tel\Downloads\finance\project\"/>
    </mc:Choice>
  </mc:AlternateContent>
  <xr:revisionPtr revIDLastSave="0" documentId="13_ncr:1_{D3D92DD0-3752-40D1-AF1B-C408CC27B8B2}" xr6:coauthVersionLast="47" xr6:coauthVersionMax="47" xr10:uidLastSave="{00000000-0000-0000-0000-000000000000}"/>
  <bookViews>
    <workbookView minimized="1" xWindow="4245" yWindow="1455" windowWidth="15375" windowHeight="7785" activeTab="1" xr2:uid="{00000000-000D-0000-FFFF-FFFF00000000}"/>
  </bookViews>
  <sheets>
    <sheet name="Balance Sheet" sheetId="1" r:id="rId1"/>
    <sheet name="Income Statement" sheetId="2" r:id="rId2"/>
    <sheet name="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" i="2" l="1"/>
  <c r="I55" i="2" l="1"/>
  <c r="I56" i="2" s="1"/>
  <c r="H49" i="2"/>
  <c r="H46" i="2"/>
  <c r="H38" i="2"/>
  <c r="H35" i="2"/>
  <c r="H32" i="2"/>
  <c r="H26" i="2"/>
  <c r="H23" i="2"/>
  <c r="H20" i="2"/>
  <c r="H17" i="2"/>
  <c r="H14" i="2"/>
  <c r="H10" i="2"/>
</calcChain>
</file>

<file path=xl/sharedStrings.xml><?xml version="1.0" encoding="utf-8"?>
<sst xmlns="http://schemas.openxmlformats.org/spreadsheetml/2006/main" count="232" uniqueCount="232">
  <si>
    <t>Treasury Shares Number</t>
  </si>
  <si>
    <t>Preferred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</si>
  <si>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</si>
  <si>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</si>
  <si>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</si>
  <si>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</si>
  <si>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</si>
  <si>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</si>
  <si>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</si>
  <si>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</si>
  <si>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Common Stock Equity</t>
  </si>
  <si>
    <t>Preferred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</si>
  <si>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</si>
  <si>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</si>
  <si>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</si>
  <si>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</si>
  <si>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</si>
  <si>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</si>
  <si>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</si>
  <si>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</si>
  <si>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</si>
  <si>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</si>
  <si>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</si>
  <si>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</si>
  <si>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</si>
  <si>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</si>
  <si>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Preferred Securities Outside Stock Equity</t>
  </si>
  <si>
    <t>Non Current Deferred Liabilities</t>
  </si>
  <si>
    <t>Non Current Deferred Taxes Liabilities</t>
  </si>
  <si>
    <t>Long Term Debt And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</si>
  <si>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</si>
  <si>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</si>
  <si>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</si>
  <si>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</si>
  <si>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</si>
  <si>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</si>
  <si>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Debt</t>
  </si>
  <si>
    <t>Other Current Borrowings</t>
  </si>
  <si>
    <t>Current Provisions</t>
  </si>
  <si>
    <t>Payables And Accrued Expenses</t>
  </si>
  <si>
    <t>Current Accrued Expenses</t>
  </si>
  <si>
    <t>Interest Payable</t>
  </si>
  <si>
    <t>Payables</t>
  </si>
  <si>
    <t>Other Payable</t>
  </si>
  <si>
    <t>Dueto Related Parties Current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</si>
  <si>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</si>
  <si>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</si>
  <si>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</si>
  <si>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</si>
  <si>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</si>
  <si>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</si>
  <si>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</si>
  <si>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</si>
  <si>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</si>
  <si>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</si>
  <si>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Investmentin Financial Assets</t>
  </si>
  <si>
    <t>Available For Sale Securities</t>
  </si>
  <si>
    <t>Long Term Equity Investment</t>
  </si>
  <si>
    <t>Investmentsin Joint Venturesat Cost</t>
  </si>
  <si>
    <t>Investments In Other Ventures Under Equity Method</t>
  </si>
  <si>
    <t>Investmentsin Associatesat Cost</t>
  </si>
  <si>
    <t>Investmentsin Subsidiariesat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</si>
  <si>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</si>
  <si>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</si>
  <si>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</si>
  <si>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</si>
  <si>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</si>
  <si>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</si>
  <si>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</si>
  <si>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</si>
  <si>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</si>
  <si>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</si>
  <si>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</si>
  <si>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</si>
  <si>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</si>
  <si>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Hedging Assets Current</t>
  </si>
  <si>
    <t>Restricted Cash</t>
  </si>
  <si>
    <t>Inventory</t>
  </si>
  <si>
    <t>Other Inventories</t>
  </si>
  <si>
    <t>Finished Goods</t>
  </si>
  <si>
    <t>Raw Materials</t>
  </si>
  <si>
    <t>Receivables</t>
  </si>
  <si>
    <t>Receivables Adjustments Allowances</t>
  </si>
  <si>
    <t>Other Receivables</t>
  </si>
  <si>
    <t>Duefrom Related Parties Current</t>
  </si>
  <si>
    <t>Taxes Receivable</t>
  </si>
  <si>
    <t>Accounts Receivable</t>
  </si>
  <si>
    <t>Cash Cash Equivalents And Short Term Investments</t>
  </si>
  <si>
    <t>Cash And Cash Equivalents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</si>
  <si>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</si>
  <si>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</si>
  <si>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</si>
  <si>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</si>
  <si>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</si>
  <si>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</si>
  <si>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</si>
  <si>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</si>
  <si>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</si>
  <si>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</si>
  <si>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</si>
  <si>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</si>
  <si>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</si>
  <si>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</si>
  <si>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</si>
  <si>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</si>
  <si>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</si>
  <si>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</si>
  <si>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</si>
  <si>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</si>
  <si>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</si>
  <si>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</si>
  <si>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Preferred Stock Dividends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</si>
  <si>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</si>
  <si>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</si>
  <si>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</si>
  <si>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</si>
  <si>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</si>
  <si>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</si>
  <si>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</si>
  <si>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</si>
  <si>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</si>
  <si>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Ppe</t>
  </si>
  <si>
    <t>Gain On Sale Of Business</t>
  </si>
  <si>
    <t>Write Off</t>
  </si>
  <si>
    <t>Impairment Of Capital Assets</t>
  </si>
  <si>
    <t>Restructuring And Mergern Acquisition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</si>
  <si>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</si>
  <si>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</si>
  <si>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</si>
  <si>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</si>
  <si>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</si>
  <si>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Operating Income</t>
  </si>
  <si>
    <t>Operating Expense</t>
  </si>
  <si>
    <t>Other Operating Expenses</t>
  </si>
  <si>
    <t>Selling General And Administration</t>
  </si>
  <si>
    <t>General And Administrative Expense</t>
  </si>
  <si>
    <t>Other Gand A</t>
  </si>
  <si>
    <t>Salaries And Wages</t>
  </si>
  <si>
    <t>Gross Profit</t>
  </si>
  <si>
    <t>Cost Of Revenue</t>
  </si>
  <si>
    <t>Total Revenue</t>
  </si>
  <si>
    <t>Operating Revenue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</si>
  <si>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</si>
  <si>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</si>
  <si>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</si>
  <si>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</si>
  <si>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</si>
  <si>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</si>
  <si>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</si>
  <si>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</si>
  <si>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</si>
  <si>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</si>
  <si>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</si>
  <si>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</si>
  <si>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</si>
  <si>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</si>
  <si>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</si>
  <si>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</si>
  <si>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Preferred Stock Dividend Paid</t>
  </si>
  <si>
    <t>Common Stock Dividend Paid</t>
  </si>
  <si>
    <t>Net Preferred Stock Issuance</t>
  </si>
  <si>
    <t>Preferred Stock Payments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</si>
  <si>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</si>
  <si>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</si>
  <si>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</si>
  <si>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</si>
  <si>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</si>
  <si>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</si>
  <si>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</si>
  <si>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</si>
  <si>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</si>
  <si>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</si>
  <si>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</si>
  <si>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</si>
  <si>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Dividends Received Cfi</t>
  </si>
  <si>
    <t>Net Investment Purchase And Sale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</si>
  <si>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</si>
  <si>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</si>
  <si>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</si>
  <si>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</si>
  <si>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</si>
  <si>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Purchase Of Intangibles</t>
  </si>
  <si>
    <t>Capital Expenditure Reported</t>
  </si>
  <si>
    <t>Operating Cash Flow</t>
  </si>
  <si>
    <t>Cash Flow From Continuing Operating Activities</t>
  </si>
  <si>
    <t>Dividend Received Cfo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</si>
  <si>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</si>
  <si>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</si>
  <si>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</si>
  <si>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</si>
  <si>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</si>
  <si>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Accrued Expense</t>
  </si>
  <si>
    <t>Change In Interest Payable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</si>
  <si>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</si>
  <si>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</si>
  <si>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</si>
  <si>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</si>
  <si>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</si>
  <si>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</si>
  <si>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</si>
  <si>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</si>
  <si>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</si>
  <si>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</si>
  <si>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</si>
  <si>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Operating Gains Losses</t>
  </si>
  <si>
    <t>Earnings Losses From Equity Investments</t>
  </si>
  <si>
    <t>Gain Loss On Investment Securities</t>
  </si>
  <si>
    <t>Gain Loss On Sale Of Business</t>
  </si>
  <si>
    <t>Net Income From Continuing Operations</t>
  </si>
  <si>
    <t>Gross Profit Margin=Revenue – Cost of Goods Sold​/Revenue</t>
  </si>
  <si>
    <t>Operating Margin=Operating Income​/Revenue</t>
  </si>
  <si>
    <t>Net Profit Margin=Net Income​/Revenue</t>
  </si>
  <si>
    <t>ROA=Net Income/Total Assets</t>
  </si>
  <si>
    <t>ROE=Net Income/Shareholders’ Equity</t>
  </si>
  <si>
    <t>EPS=Net Income​/Shares Outstanding</t>
  </si>
  <si>
    <t>B. Ratio and Valuation Analysis</t>
  </si>
  <si>
    <t>B. Liquidity Ratios</t>
  </si>
  <si>
    <t>1. Financial Ratio Analysis</t>
  </si>
  <si>
    <t>A. Profitability Ratios</t>
  </si>
  <si>
    <t>CurrentRatio=Current Assets​/Current Liabilities</t>
  </si>
  <si>
    <t>QuickRatio=Current Assets – Inventory​/Current Liabilities</t>
  </si>
  <si>
    <t>CashRatio=Cash + Cash Equivalents​/Current Liabilities</t>
  </si>
  <si>
    <t>P/E=Stock Price​/EPS</t>
  </si>
  <si>
    <t>Debt to Equity=Total Debt/Shareholder Equity</t>
  </si>
  <si>
    <t>Sustainable Growth Rate</t>
  </si>
  <si>
    <t>Dividend Payout Ratio = Common Dividends Paid / Net Income Common Stockholders</t>
  </si>
  <si>
    <t>SGR = ROE × Retention Ratio</t>
  </si>
  <si>
    <t>Retention Ratio = 1 − Dividend Payout Ratio</t>
  </si>
  <si>
    <t xml:space="preserve">Retention Ratio </t>
  </si>
  <si>
    <t>SGR</t>
  </si>
  <si>
    <t>C. Additional Ratios</t>
  </si>
  <si>
    <t>Gross Profit Margin=Gross Profit /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</si>
</sst>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opLeftCell="A74" workbookViewId="0">
      <selection activeCell="B17" sqref="B17"/>
    </sheetView>
  </sheetViews>
  <sheetFormatPr defaultRowHeight="15" x14ac:dyDescent="0.25"/>
  <cols>
    <col min="1" max="1" width="49.140625" bestFit="1" customWidth="1"/>
    <col min="2" max="6" width="18.28515625" bestFit="1" customWidth="1"/>
  </cols>
  <sheetData>
    <row r="1" spans="1:9" x14ac:dyDescent="0.25">
      <c r="B1" s="1">
        <v>46022</v>
      </c>
      <c r="C1" s="1">
        <v>45657</v>
      </c>
      <c r="D1" s="1">
        <v>45291</v>
      </c>
      <c r="E1" s="1">
        <v>44926</v>
      </c>
      <c r="F1" s="1">
        <v>44561</v>
      </c>
    </row>
    <row r="2" spans="1:9" x14ac:dyDescent="0.25">
      <c r="A2" s="2" t="s">
        <v>0</v>
      </c>
      <c r="D2">
        <v>0</v>
      </c>
    </row>
    <row r="3" spans="1:9" x14ac:dyDescent="0.25">
      <c r="A3" s="2" t="s">
        <v>1</v>
      </c>
      <c r="B3">
        <v>277000000</v>
      </c>
      <c r="C3">
        <v>277000000</v>
      </c>
      <c r="D3">
        <v>277000000</v>
      </c>
      <c r="E3">
        <v>277000000</v>
      </c>
    </row>
    <row r="4" spans="1:9" x14ac:dyDescent="0.25">
      <c r="A4" s="2" t="s">
        <v>2</v>
      </c>
      <c r="B4">
        <v>2182000000</v>
      </c>
      <c r="C4">
        <v>2177956195</v>
      </c>
      <c r="D4">
        <v>2125574412</v>
      </c>
      <c r="E4">
        <v>2025000000</v>
      </c>
    </row>
    <row r="5" spans="1:9" x14ac:dyDescent="0.25">
      <c r="A5" s="2" t="s">
        <v>3</v>
      </c>
      <c r="B5">
        <v>2182000000</v>
      </c>
      <c r="C5">
        <v>2177956195</v>
      </c>
      <c r="D5">
        <v>2125574412</v>
      </c>
      <c r="E5">
        <v>2025000000</v>
      </c>
      <c r="I5" t="s">
        <v>209</v>
      </c>
    </row>
    <row r="6" spans="1:9" x14ac:dyDescent="0.25">
      <c r="A6" s="2" t="s">
        <v>4</v>
      </c>
      <c r="B6">
        <v>104158000000</v>
      </c>
      <c r="C6">
        <v>100041000000</v>
      </c>
      <c r="D6">
        <v>75298000000</v>
      </c>
      <c r="E6">
        <v>80119000000</v>
      </c>
    </row>
    <row r="7" spans="1:9" x14ac:dyDescent="0.25">
      <c r="A7" s="2" t="s">
        <v>5</v>
      </c>
      <c r="B7">
        <v>105252000000</v>
      </c>
      <c r="C7">
        <v>101844000000</v>
      </c>
      <c r="D7">
        <v>81199000000</v>
      </c>
      <c r="E7">
        <v>80980000000</v>
      </c>
    </row>
    <row r="8" spans="1:9" x14ac:dyDescent="0.25">
      <c r="A8" s="2" t="s">
        <v>6</v>
      </c>
      <c r="B8">
        <v>16224000000</v>
      </c>
      <c r="C8">
        <v>17895000000</v>
      </c>
      <c r="D8">
        <v>19251000000</v>
      </c>
      <c r="E8">
        <v>16611000000</v>
      </c>
    </row>
    <row r="9" spans="1:9" x14ac:dyDescent="0.25">
      <c r="A9" s="2" t="s">
        <v>7</v>
      </c>
      <c r="B9">
        <v>160767000000</v>
      </c>
      <c r="C9">
        <v>160926000000</v>
      </c>
      <c r="D9">
        <v>135835000000</v>
      </c>
      <c r="E9">
        <v>134049000000</v>
      </c>
    </row>
    <row r="10" spans="1:9" x14ac:dyDescent="0.25">
      <c r="A10" s="2" t="s">
        <v>8</v>
      </c>
      <c r="B10">
        <v>-7809000000</v>
      </c>
      <c r="C10">
        <v>-10649000000</v>
      </c>
      <c r="D10">
        <v>-3036000000</v>
      </c>
      <c r="E10">
        <v>-8154000000</v>
      </c>
    </row>
    <row r="11" spans="1:9" x14ac:dyDescent="0.25">
      <c r="A11" s="2" t="s">
        <v>9</v>
      </c>
      <c r="B11">
        <v>23042000000</v>
      </c>
      <c r="C11">
        <v>24713000000</v>
      </c>
      <c r="D11">
        <v>26069000000</v>
      </c>
      <c r="E11">
        <v>23429000000</v>
      </c>
    </row>
    <row r="12" spans="1:9" x14ac:dyDescent="0.25">
      <c r="A12" s="2" t="s">
        <v>10</v>
      </c>
      <c r="B12">
        <v>55515000000</v>
      </c>
      <c r="C12">
        <v>59082000000</v>
      </c>
      <c r="D12">
        <v>54636000000</v>
      </c>
      <c r="E12">
        <v>53069000000</v>
      </c>
    </row>
    <row r="13" spans="1:9" x14ac:dyDescent="0.25">
      <c r="A13" s="2" t="s">
        <v>11</v>
      </c>
      <c r="B13">
        <v>6818000000</v>
      </c>
      <c r="C13">
        <v>6818000000</v>
      </c>
      <c r="D13">
        <v>6818000000</v>
      </c>
      <c r="E13">
        <v>6818000000</v>
      </c>
    </row>
    <row r="14" spans="1:9" x14ac:dyDescent="0.25">
      <c r="A14" s="2" t="s">
        <v>12</v>
      </c>
      <c r="B14">
        <v>161296000000</v>
      </c>
      <c r="C14">
        <v>159314000000</v>
      </c>
      <c r="D14">
        <v>136169000000</v>
      </c>
      <c r="E14">
        <v>132826000000</v>
      </c>
    </row>
    <row r="15" spans="1:9" x14ac:dyDescent="0.25">
      <c r="A15" s="2" t="s">
        <v>13</v>
      </c>
      <c r="B15">
        <v>65188000000</v>
      </c>
      <c r="C15">
        <v>68893000000</v>
      </c>
      <c r="D15">
        <v>64483000000</v>
      </c>
      <c r="E15">
        <v>63398000000</v>
      </c>
    </row>
    <row r="16" spans="1:9" x14ac:dyDescent="0.25">
      <c r="A16" s="2" t="s">
        <v>14</v>
      </c>
      <c r="B16">
        <v>2855000000</v>
      </c>
      <c r="C16">
        <v>2993000000</v>
      </c>
      <c r="D16">
        <v>3029000000</v>
      </c>
      <c r="E16">
        <v>3511000000</v>
      </c>
    </row>
    <row r="17" spans="1:5" x14ac:dyDescent="0.25">
      <c r="A17" s="2" t="s">
        <v>15</v>
      </c>
      <c r="B17">
        <v>62333000000</v>
      </c>
      <c r="C17">
        <v>65900000000</v>
      </c>
      <c r="D17">
        <v>61454000000</v>
      </c>
      <c r="E17">
        <v>59887000000</v>
      </c>
    </row>
    <row r="18" spans="1:5" x14ac:dyDescent="0.25">
      <c r="A18" s="2" t="s">
        <v>16</v>
      </c>
      <c r="B18">
        <v>4681000000</v>
      </c>
      <c r="C18">
        <v>7115000000</v>
      </c>
      <c r="D18">
        <v>2303000000</v>
      </c>
      <c r="E18">
        <v>3520000000</v>
      </c>
    </row>
    <row r="19" spans="1:5" x14ac:dyDescent="0.25">
      <c r="A19" s="2" t="s">
        <v>17</v>
      </c>
      <c r="B19">
        <v>4681000000</v>
      </c>
      <c r="C19">
        <v>7115000000</v>
      </c>
      <c r="D19">
        <v>2303000000</v>
      </c>
      <c r="E19">
        <v>3520000000</v>
      </c>
    </row>
    <row r="20" spans="1:5" x14ac:dyDescent="0.25">
      <c r="A20" s="2" t="s">
        <v>18</v>
      </c>
      <c r="B20">
        <v>-21284000000</v>
      </c>
      <c r="C20">
        <v>-20046000000</v>
      </c>
      <c r="D20">
        <v>-17115000000</v>
      </c>
      <c r="E20">
        <v>-15486000000</v>
      </c>
    </row>
    <row r="21" spans="1:5" x14ac:dyDescent="0.25">
      <c r="A21" s="2" t="s">
        <v>19</v>
      </c>
      <c r="B21">
        <v>242000000</v>
      </c>
      <c r="C21">
        <v>275000000</v>
      </c>
      <c r="D21">
        <v>268000000</v>
      </c>
      <c r="E21">
        <v>275000000</v>
      </c>
    </row>
    <row r="22" spans="1:5" x14ac:dyDescent="0.25">
      <c r="A22" s="2" t="s">
        <v>20</v>
      </c>
      <c r="B22">
        <v>78694000000</v>
      </c>
      <c r="C22">
        <v>78556000000</v>
      </c>
      <c r="D22">
        <v>75998000000</v>
      </c>
      <c r="E22">
        <v>71578000000</v>
      </c>
    </row>
    <row r="23" spans="1:5" x14ac:dyDescent="0.25">
      <c r="A23" s="2" t="s">
        <v>21</v>
      </c>
      <c r="B23">
        <v>71876000000</v>
      </c>
      <c r="C23">
        <v>71738000000</v>
      </c>
      <c r="D23">
        <v>69180000000</v>
      </c>
      <c r="E23">
        <v>64760000000</v>
      </c>
    </row>
    <row r="24" spans="1:5" x14ac:dyDescent="0.25">
      <c r="A24" s="2" t="s">
        <v>22</v>
      </c>
      <c r="B24">
        <v>6818000000</v>
      </c>
      <c r="C24">
        <v>6818000000</v>
      </c>
      <c r="D24">
        <v>6818000000</v>
      </c>
      <c r="E24">
        <v>6818000000</v>
      </c>
    </row>
    <row r="25" spans="1:5" x14ac:dyDescent="0.25">
      <c r="A25" s="2" t="s">
        <v>23</v>
      </c>
      <c r="B25">
        <v>153287000000</v>
      </c>
      <c r="C25">
        <v>150080000000</v>
      </c>
      <c r="D25">
        <v>115834000000</v>
      </c>
      <c r="E25">
        <v>116210000000</v>
      </c>
    </row>
    <row r="26" spans="1:5" x14ac:dyDescent="0.25">
      <c r="A26" s="2" t="s">
        <v>24</v>
      </c>
      <c r="B26">
        <v>132283000000</v>
      </c>
      <c r="C26">
        <v>126268000000</v>
      </c>
      <c r="D26">
        <v>98399000000</v>
      </c>
      <c r="E26">
        <v>95909000000</v>
      </c>
    </row>
    <row r="27" spans="1:5" x14ac:dyDescent="0.25">
      <c r="A27" s="2" t="s">
        <v>25</v>
      </c>
      <c r="B27">
        <v>12302000000</v>
      </c>
      <c r="C27">
        <v>13258000000</v>
      </c>
      <c r="D27">
        <v>8653000000</v>
      </c>
      <c r="E27">
        <v>9189000000</v>
      </c>
    </row>
    <row r="28" spans="1:5" x14ac:dyDescent="0.25">
      <c r="A28" s="2" t="s">
        <v>26</v>
      </c>
      <c r="B28">
        <v>736000000</v>
      </c>
      <c r="C28">
        <v>0</v>
      </c>
    </row>
    <row r="29" spans="1:5" x14ac:dyDescent="0.25">
      <c r="A29" s="2" t="s">
        <v>27</v>
      </c>
      <c r="B29">
        <v>20282000000</v>
      </c>
      <c r="C29">
        <v>19596000000</v>
      </c>
      <c r="D29">
        <v>15031000000</v>
      </c>
      <c r="E29">
        <v>13781000000</v>
      </c>
    </row>
    <row r="30" spans="1:5" x14ac:dyDescent="0.25">
      <c r="A30" s="2" t="s">
        <v>28</v>
      </c>
      <c r="B30">
        <v>20282000000</v>
      </c>
      <c r="C30">
        <v>19596000000</v>
      </c>
      <c r="D30">
        <v>15031000000</v>
      </c>
      <c r="E30">
        <v>13781000000</v>
      </c>
    </row>
    <row r="31" spans="1:5" x14ac:dyDescent="0.25">
      <c r="A31" s="2" t="s">
        <v>29</v>
      </c>
      <c r="B31">
        <v>98963000000</v>
      </c>
      <c r="C31">
        <v>93414000000</v>
      </c>
      <c r="D31">
        <v>74715000000</v>
      </c>
      <c r="E31">
        <v>72939000000</v>
      </c>
    </row>
    <row r="32" spans="1:5" x14ac:dyDescent="0.25">
      <c r="A32" s="2" t="s">
        <v>30</v>
      </c>
      <c r="B32">
        <v>98963000000</v>
      </c>
      <c r="C32">
        <v>93414000000</v>
      </c>
      <c r="D32">
        <v>74715000000</v>
      </c>
      <c r="E32">
        <v>72939000000</v>
      </c>
    </row>
    <row r="33" spans="1:6" x14ac:dyDescent="0.25">
      <c r="A33" s="2" t="s">
        <v>31</v>
      </c>
      <c r="B33">
        <v>21004000000</v>
      </c>
      <c r="C33">
        <v>23812000000</v>
      </c>
      <c r="D33">
        <v>17435000000</v>
      </c>
      <c r="E33">
        <v>20301000000</v>
      </c>
    </row>
    <row r="34" spans="1:6" x14ac:dyDescent="0.25">
      <c r="A34" s="2" t="s">
        <v>32</v>
      </c>
      <c r="B34">
        <v>1568000000</v>
      </c>
      <c r="C34">
        <v>2830000000</v>
      </c>
      <c r="D34">
        <v>1775000000</v>
      </c>
      <c r="E34">
        <v>1656000000</v>
      </c>
    </row>
    <row r="35" spans="1:6" x14ac:dyDescent="0.25">
      <c r="A35" s="2" t="s">
        <v>33</v>
      </c>
      <c r="B35">
        <v>1214000000</v>
      </c>
      <c r="C35">
        <v>1072000000</v>
      </c>
      <c r="D35">
        <v>1177000000</v>
      </c>
      <c r="E35">
        <v>1056000000</v>
      </c>
    </row>
    <row r="36" spans="1:6" x14ac:dyDescent="0.25">
      <c r="A36" s="2" t="s">
        <v>34</v>
      </c>
      <c r="B36">
        <v>1214000000</v>
      </c>
      <c r="C36">
        <v>1072000000</v>
      </c>
      <c r="D36">
        <v>1177000000</v>
      </c>
      <c r="E36">
        <v>1056000000</v>
      </c>
    </row>
    <row r="37" spans="1:6" x14ac:dyDescent="0.25">
      <c r="A37" s="2" t="s">
        <v>35</v>
      </c>
      <c r="B37">
        <v>6289000000</v>
      </c>
      <c r="C37">
        <v>8430000000</v>
      </c>
      <c r="D37">
        <v>6484000000</v>
      </c>
      <c r="E37">
        <v>8041000000</v>
      </c>
    </row>
    <row r="38" spans="1:6" x14ac:dyDescent="0.25">
      <c r="A38" s="2" t="s">
        <v>36</v>
      </c>
      <c r="B38">
        <v>6289000000</v>
      </c>
      <c r="C38">
        <v>8430000000</v>
      </c>
      <c r="D38">
        <v>6484000000</v>
      </c>
      <c r="E38">
        <v>8041000000</v>
      </c>
    </row>
    <row r="39" spans="1:6" x14ac:dyDescent="0.25">
      <c r="A39" s="2" t="s">
        <v>37</v>
      </c>
      <c r="B39">
        <v>6289000000</v>
      </c>
      <c r="C39">
        <v>8430000000</v>
      </c>
      <c r="D39">
        <v>6484000000</v>
      </c>
      <c r="E39">
        <v>8041000000</v>
      </c>
    </row>
    <row r="40" spans="1:6" x14ac:dyDescent="0.25">
      <c r="A40" s="2" t="s">
        <v>38</v>
      </c>
      <c r="B40">
        <v>113000000</v>
      </c>
      <c r="C40">
        <v>120000000</v>
      </c>
      <c r="D40">
        <v>136000000</v>
      </c>
    </row>
    <row r="41" spans="1:6" x14ac:dyDescent="0.25">
      <c r="A41" s="2" t="s">
        <v>39</v>
      </c>
      <c r="B41">
        <v>11820000000</v>
      </c>
      <c r="C41">
        <v>11360000000</v>
      </c>
      <c r="D41">
        <v>7863000000</v>
      </c>
      <c r="E41">
        <v>9548000000</v>
      </c>
    </row>
    <row r="42" spans="1:6" x14ac:dyDescent="0.25">
      <c r="A42" s="2" t="s">
        <v>40</v>
      </c>
      <c r="B42">
        <v>1176000000</v>
      </c>
      <c r="C42">
        <v>1231000000</v>
      </c>
      <c r="D42">
        <v>958000000</v>
      </c>
      <c r="E42">
        <v>763000000</v>
      </c>
    </row>
    <row r="43" spans="1:6" x14ac:dyDescent="0.25">
      <c r="A43" s="2" t="s">
        <v>41</v>
      </c>
      <c r="B43">
        <v>1176000000</v>
      </c>
      <c r="C43">
        <v>1231000000</v>
      </c>
      <c r="D43">
        <v>958000000</v>
      </c>
      <c r="E43">
        <v>763000000</v>
      </c>
    </row>
    <row r="44" spans="1:6" x14ac:dyDescent="0.25">
      <c r="A44" s="2" t="s">
        <v>42</v>
      </c>
      <c r="B44">
        <v>10644000000</v>
      </c>
      <c r="C44">
        <v>10129000000</v>
      </c>
      <c r="D44">
        <v>6905000000</v>
      </c>
      <c r="E44">
        <v>8785000000</v>
      </c>
    </row>
    <row r="45" spans="1:6" x14ac:dyDescent="0.25">
      <c r="A45" s="2" t="s">
        <v>43</v>
      </c>
      <c r="E45">
        <v>1695000000</v>
      </c>
      <c r="F45">
        <v>844000000</v>
      </c>
    </row>
    <row r="46" spans="1:6" x14ac:dyDescent="0.25">
      <c r="A46" s="2" t="s">
        <v>44</v>
      </c>
      <c r="B46">
        <v>38000000</v>
      </c>
      <c r="C46">
        <v>22000000</v>
      </c>
      <c r="D46">
        <v>26000000</v>
      </c>
      <c r="E46">
        <v>105000000</v>
      </c>
    </row>
    <row r="47" spans="1:6" x14ac:dyDescent="0.25">
      <c r="A47" s="2" t="s">
        <v>45</v>
      </c>
      <c r="B47">
        <v>2150000000</v>
      </c>
      <c r="C47">
        <v>2088000000</v>
      </c>
      <c r="D47">
        <v>1975000000</v>
      </c>
      <c r="E47">
        <v>1825000000</v>
      </c>
    </row>
    <row r="48" spans="1:6" x14ac:dyDescent="0.25">
      <c r="A48" s="2" t="s">
        <v>46</v>
      </c>
      <c r="B48">
        <v>901000000</v>
      </c>
      <c r="C48">
        <v>959000000</v>
      </c>
      <c r="D48">
        <v>596000000</v>
      </c>
      <c r="E48">
        <v>683000000</v>
      </c>
    </row>
    <row r="49" spans="1:6" x14ac:dyDescent="0.25">
      <c r="A49" s="2" t="s">
        <v>47</v>
      </c>
      <c r="B49">
        <v>7555000000</v>
      </c>
      <c r="C49">
        <v>7060000000</v>
      </c>
      <c r="D49">
        <v>4308000000</v>
      </c>
      <c r="E49">
        <v>6172000000</v>
      </c>
    </row>
    <row r="50" spans="1:6" x14ac:dyDescent="0.25">
      <c r="A50" s="2" t="s">
        <v>48</v>
      </c>
      <c r="B50">
        <v>218475000000</v>
      </c>
      <c r="C50">
        <v>218973000000</v>
      </c>
      <c r="D50">
        <v>180317000000</v>
      </c>
      <c r="E50">
        <v>179608000000</v>
      </c>
    </row>
    <row r="51" spans="1:6" x14ac:dyDescent="0.25">
      <c r="A51" s="2" t="s">
        <v>49</v>
      </c>
      <c r="B51">
        <v>205296000000</v>
      </c>
      <c r="C51">
        <v>205810000000</v>
      </c>
      <c r="D51">
        <v>165918000000</v>
      </c>
      <c r="E51">
        <v>167461000000</v>
      </c>
    </row>
    <row r="52" spans="1:6" x14ac:dyDescent="0.25">
      <c r="A52" s="2" t="s">
        <v>50</v>
      </c>
      <c r="B52">
        <v>12442000000</v>
      </c>
      <c r="C52">
        <v>12032000000</v>
      </c>
      <c r="D52">
        <v>8758000000</v>
      </c>
      <c r="E52">
        <v>10135000000</v>
      </c>
    </row>
    <row r="53" spans="1:6" x14ac:dyDescent="0.25">
      <c r="A53" s="2" t="s">
        <v>51</v>
      </c>
      <c r="B53">
        <v>701000000</v>
      </c>
      <c r="C53">
        <v>796000000</v>
      </c>
      <c r="D53">
        <v>341000000</v>
      </c>
      <c r="E53">
        <v>472000000</v>
      </c>
    </row>
    <row r="54" spans="1:6" x14ac:dyDescent="0.25">
      <c r="A54" s="2" t="s">
        <v>52</v>
      </c>
      <c r="B54">
        <v>701000000</v>
      </c>
      <c r="C54">
        <v>796000000</v>
      </c>
      <c r="D54">
        <v>341000000</v>
      </c>
      <c r="E54">
        <v>472000000</v>
      </c>
    </row>
    <row r="55" spans="1:6" x14ac:dyDescent="0.25">
      <c r="A55" s="2" t="s">
        <v>53</v>
      </c>
      <c r="B55">
        <v>21264000000</v>
      </c>
      <c r="C55">
        <v>20691000000</v>
      </c>
      <c r="D55">
        <v>16793000000</v>
      </c>
      <c r="E55">
        <v>15936000000</v>
      </c>
    </row>
    <row r="56" spans="1:6" x14ac:dyDescent="0.25">
      <c r="A56" s="2" t="s">
        <v>54</v>
      </c>
      <c r="D56">
        <v>173000000</v>
      </c>
      <c r="E56">
        <v>101000000</v>
      </c>
      <c r="F56">
        <v>52000000</v>
      </c>
    </row>
    <row r="57" spans="1:6" x14ac:dyDescent="0.25">
      <c r="A57" s="2" t="s">
        <v>55</v>
      </c>
      <c r="D57">
        <v>430000000</v>
      </c>
      <c r="E57">
        <v>488000000</v>
      </c>
      <c r="F57">
        <v>290000000</v>
      </c>
    </row>
    <row r="58" spans="1:6" x14ac:dyDescent="0.25">
      <c r="A58" s="2" t="s">
        <v>56</v>
      </c>
      <c r="D58">
        <v>430000000</v>
      </c>
      <c r="E58">
        <v>488000000</v>
      </c>
      <c r="F58">
        <v>290000000</v>
      </c>
    </row>
    <row r="59" spans="1:6" x14ac:dyDescent="0.25">
      <c r="A59" s="2" t="s">
        <v>57</v>
      </c>
      <c r="D59">
        <v>16190000000</v>
      </c>
      <c r="E59">
        <v>15347000000</v>
      </c>
      <c r="F59">
        <v>12982000000</v>
      </c>
    </row>
    <row r="60" spans="1:6" x14ac:dyDescent="0.25">
      <c r="A60" s="2" t="s">
        <v>58</v>
      </c>
      <c r="D60">
        <v>217000000</v>
      </c>
      <c r="E60">
        <v>314000000</v>
      </c>
      <c r="F60">
        <v>309000000</v>
      </c>
    </row>
    <row r="61" spans="1:6" x14ac:dyDescent="0.25">
      <c r="A61" s="2" t="s">
        <v>59</v>
      </c>
      <c r="D61">
        <v>110000000</v>
      </c>
      <c r="E61">
        <v>107000000</v>
      </c>
      <c r="F61">
        <v>106000000</v>
      </c>
    </row>
    <row r="62" spans="1:6" x14ac:dyDescent="0.25">
      <c r="A62" s="2" t="s">
        <v>60</v>
      </c>
      <c r="D62">
        <v>11731000000</v>
      </c>
      <c r="E62">
        <v>10710000000</v>
      </c>
      <c r="F62">
        <v>9472000000</v>
      </c>
    </row>
    <row r="63" spans="1:6" x14ac:dyDescent="0.25">
      <c r="A63" s="2" t="s">
        <v>61</v>
      </c>
      <c r="D63">
        <v>4132000000</v>
      </c>
      <c r="E63">
        <v>4216000000</v>
      </c>
      <c r="F63">
        <v>3095000000</v>
      </c>
    </row>
    <row r="64" spans="1:6" x14ac:dyDescent="0.25">
      <c r="A64" s="2" t="s">
        <v>62</v>
      </c>
      <c r="B64">
        <v>39291000000</v>
      </c>
      <c r="C64">
        <v>41187000000</v>
      </c>
      <c r="D64">
        <v>35385000000</v>
      </c>
      <c r="E64">
        <v>36458000000</v>
      </c>
    </row>
    <row r="65" spans="1:6" x14ac:dyDescent="0.25">
      <c r="A65" s="2" t="s">
        <v>63</v>
      </c>
      <c r="B65">
        <v>3991000000</v>
      </c>
      <c r="C65">
        <v>4587000000</v>
      </c>
      <c r="D65">
        <v>3537000000</v>
      </c>
      <c r="E65">
        <v>4018000000</v>
      </c>
    </row>
    <row r="66" spans="1:6" x14ac:dyDescent="0.25">
      <c r="A66" s="2" t="s">
        <v>64</v>
      </c>
      <c r="B66">
        <v>35300000000</v>
      </c>
      <c r="C66">
        <v>36600000000</v>
      </c>
      <c r="D66">
        <v>31848000000</v>
      </c>
      <c r="E66">
        <v>32440000000</v>
      </c>
    </row>
    <row r="67" spans="1:6" x14ac:dyDescent="0.25">
      <c r="A67" s="2" t="s">
        <v>65</v>
      </c>
      <c r="B67">
        <v>131598000000</v>
      </c>
      <c r="C67">
        <v>131104000000</v>
      </c>
      <c r="D67">
        <v>104641000000</v>
      </c>
      <c r="E67">
        <v>104460000000</v>
      </c>
    </row>
    <row r="68" spans="1:6" x14ac:dyDescent="0.25">
      <c r="A68" s="2" t="s">
        <v>66</v>
      </c>
      <c r="B68">
        <v>-41140000000</v>
      </c>
      <c r="C68">
        <v>-37962000000</v>
      </c>
      <c r="D68">
        <v>-32558000000</v>
      </c>
      <c r="E68">
        <v>-29540000000</v>
      </c>
    </row>
    <row r="69" spans="1:6" x14ac:dyDescent="0.25">
      <c r="A69" s="2" t="s">
        <v>67</v>
      </c>
      <c r="B69">
        <v>172738000000</v>
      </c>
      <c r="C69">
        <v>169066000000</v>
      </c>
      <c r="D69">
        <v>137199000000</v>
      </c>
      <c r="E69">
        <v>134000000000</v>
      </c>
    </row>
    <row r="70" spans="1:6" x14ac:dyDescent="0.25">
      <c r="A70" s="2" t="s">
        <v>68</v>
      </c>
      <c r="B70">
        <v>7240000000</v>
      </c>
      <c r="C70">
        <v>5648000000</v>
      </c>
      <c r="D70">
        <v>2829000000</v>
      </c>
      <c r="E70">
        <v>2316000000</v>
      </c>
    </row>
    <row r="71" spans="1:6" x14ac:dyDescent="0.25">
      <c r="A71" s="2" t="s">
        <v>69</v>
      </c>
      <c r="B71">
        <v>117067000000</v>
      </c>
      <c r="C71">
        <v>115798000000</v>
      </c>
      <c r="D71">
        <v>93136000000</v>
      </c>
      <c r="E71">
        <v>91019000000</v>
      </c>
    </row>
    <row r="72" spans="1:6" x14ac:dyDescent="0.25">
      <c r="A72" s="2" t="s">
        <v>70</v>
      </c>
      <c r="B72">
        <v>44101000000</v>
      </c>
      <c r="C72">
        <v>43439000000</v>
      </c>
      <c r="D72">
        <v>37634000000</v>
      </c>
      <c r="E72">
        <v>37028000000</v>
      </c>
    </row>
    <row r="73" spans="1:6" x14ac:dyDescent="0.25">
      <c r="A73" s="2" t="s">
        <v>71</v>
      </c>
      <c r="B73">
        <v>4330000000</v>
      </c>
      <c r="C73">
        <v>4181000000</v>
      </c>
      <c r="D73">
        <v>3600000000</v>
      </c>
      <c r="E73">
        <v>3637000000</v>
      </c>
    </row>
    <row r="74" spans="1:6" x14ac:dyDescent="0.25">
      <c r="A74" s="2" t="s">
        <v>72</v>
      </c>
      <c r="F74">
        <v>86121000000</v>
      </c>
    </row>
    <row r="75" spans="1:6" x14ac:dyDescent="0.25">
      <c r="A75" s="2" t="s">
        <v>73</v>
      </c>
      <c r="B75">
        <v>13195000000</v>
      </c>
      <c r="C75">
        <v>13163000000</v>
      </c>
      <c r="D75">
        <v>14399000000</v>
      </c>
      <c r="E75">
        <v>12147000000</v>
      </c>
    </row>
    <row r="76" spans="1:6" x14ac:dyDescent="0.25">
      <c r="A76" s="2" t="s">
        <v>74</v>
      </c>
      <c r="B76">
        <v>2293000000</v>
      </c>
      <c r="C76">
        <v>1838000000</v>
      </c>
      <c r="D76">
        <v>1470000000</v>
      </c>
      <c r="E76">
        <v>1917000000</v>
      </c>
    </row>
    <row r="77" spans="1:6" x14ac:dyDescent="0.25">
      <c r="A77" s="2" t="s">
        <v>75</v>
      </c>
      <c r="B77">
        <v>591000000</v>
      </c>
      <c r="C77">
        <v>557000000</v>
      </c>
      <c r="D77">
        <v>623000000</v>
      </c>
      <c r="E77">
        <v>1015000000</v>
      </c>
    </row>
    <row r="78" spans="1:6" x14ac:dyDescent="0.25">
      <c r="A78" s="2" t="s">
        <v>76</v>
      </c>
      <c r="B78">
        <v>83000000</v>
      </c>
      <c r="C78">
        <v>92000000</v>
      </c>
      <c r="D78">
        <v>84000000</v>
      </c>
      <c r="E78">
        <v>46000000</v>
      </c>
    </row>
    <row r="79" spans="1:6" x14ac:dyDescent="0.25">
      <c r="A79" s="2" t="s">
        <v>77</v>
      </c>
      <c r="B79">
        <v>1621000000</v>
      </c>
      <c r="C79">
        <v>1488000000</v>
      </c>
      <c r="D79">
        <v>1479000000</v>
      </c>
      <c r="E79">
        <v>2255000000</v>
      </c>
    </row>
    <row r="80" spans="1:6" x14ac:dyDescent="0.25">
      <c r="A80" s="2" t="s">
        <v>78</v>
      </c>
      <c r="B80">
        <v>172000000</v>
      </c>
      <c r="C80">
        <v>198000000</v>
      </c>
      <c r="D80">
        <v>128000000</v>
      </c>
      <c r="E80">
        <v>112000000</v>
      </c>
    </row>
    <row r="81" spans="1:6" x14ac:dyDescent="0.25">
      <c r="A81" s="2" t="s">
        <v>79</v>
      </c>
      <c r="B81">
        <v>1449000000</v>
      </c>
      <c r="C81">
        <v>1290000000</v>
      </c>
      <c r="D81">
        <v>1351000000</v>
      </c>
      <c r="E81">
        <v>2143000000</v>
      </c>
    </row>
    <row r="82" spans="1:6" x14ac:dyDescent="0.25">
      <c r="A82" s="2" t="s">
        <v>80</v>
      </c>
      <c r="F82">
        <v>1577000000</v>
      </c>
    </row>
    <row r="83" spans="1:6" x14ac:dyDescent="0.25">
      <c r="A83" s="2" t="s">
        <v>81</v>
      </c>
      <c r="B83">
        <v>7513000000</v>
      </c>
      <c r="C83">
        <v>7385000000</v>
      </c>
      <c r="D83">
        <v>4842000000</v>
      </c>
      <c r="E83">
        <v>6053000000</v>
      </c>
    </row>
    <row r="84" spans="1:6" x14ac:dyDescent="0.25">
      <c r="A84" s="2" t="s">
        <v>82</v>
      </c>
      <c r="E84">
        <v>-92000000</v>
      </c>
      <c r="F84">
        <v>-87000000</v>
      </c>
    </row>
    <row r="85" spans="1:6" x14ac:dyDescent="0.25">
      <c r="A85" s="2" t="s">
        <v>83</v>
      </c>
      <c r="E85">
        <v>1313000000</v>
      </c>
      <c r="F85">
        <v>710000000</v>
      </c>
    </row>
    <row r="86" spans="1:6" x14ac:dyDescent="0.25">
      <c r="A86" s="2" t="s">
        <v>84</v>
      </c>
      <c r="B86">
        <v>86000000</v>
      </c>
      <c r="C86">
        <v>90000000</v>
      </c>
      <c r="D86">
        <v>85000000</v>
      </c>
      <c r="E86">
        <v>114000000</v>
      </c>
    </row>
    <row r="87" spans="1:6" x14ac:dyDescent="0.25">
      <c r="A87" s="2" t="s">
        <v>85</v>
      </c>
      <c r="B87">
        <v>346000000</v>
      </c>
      <c r="C87">
        <v>375000000</v>
      </c>
      <c r="D87">
        <v>347000000</v>
      </c>
      <c r="E87">
        <v>323000000</v>
      </c>
    </row>
    <row r="88" spans="1:6" x14ac:dyDescent="0.25">
      <c r="A88" s="2" t="s">
        <v>86</v>
      </c>
      <c r="B88">
        <v>7081000000</v>
      </c>
      <c r="C88">
        <v>6920000000</v>
      </c>
      <c r="D88">
        <v>4410000000</v>
      </c>
      <c r="E88">
        <v>5616000000</v>
      </c>
    </row>
    <row r="89" spans="1:6" x14ac:dyDescent="0.25">
      <c r="A89" s="2" t="s">
        <v>87</v>
      </c>
      <c r="B89">
        <v>1094000000</v>
      </c>
      <c r="C89">
        <v>1803000000</v>
      </c>
      <c r="D89">
        <v>5901000000</v>
      </c>
      <c r="E89">
        <v>861000000</v>
      </c>
    </row>
    <row r="90" spans="1:6" x14ac:dyDescent="0.25">
      <c r="A90" s="2" t="s">
        <v>88</v>
      </c>
      <c r="B90">
        <v>1094000000</v>
      </c>
      <c r="C90">
        <v>1803000000</v>
      </c>
      <c r="D90">
        <v>5901000000</v>
      </c>
      <c r="E90">
        <v>861000000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abSelected="1" topLeftCell="D47" workbookViewId="0">
      <selection activeCell="W10" sqref="W10"/>
    </sheetView>
  </sheetViews>
  <sheetFormatPr defaultRowHeight="15" x14ac:dyDescent="0.25"/>
  <cols>
    <col min="1" max="1" width="56.7109375" bestFit="1" customWidth="1"/>
    <col min="2" max="6" width="18.28515625" bestFit="1" customWidth="1"/>
    <col min="8" max="8" width="55.140625" bestFit="1" customWidth="1"/>
  </cols>
  <sheetData>
    <row r="1" spans="1:9" x14ac:dyDescent="0.25">
      <c r="B1" s="1">
        <v>46022</v>
      </c>
      <c r="C1" s="1">
        <v>45657</v>
      </c>
      <c r="D1" s="1">
        <v>45291</v>
      </c>
      <c r="E1" s="1">
        <v>44926</v>
      </c>
      <c r="F1" s="1">
        <v>44561</v>
      </c>
    </row>
    <row r="2" spans="1:9" x14ac:dyDescent="0.25">
      <c r="A2" s="2" t="s">
        <v>89</v>
      </c>
      <c r="B2">
        <v>28290000</v>
      </c>
      <c r="C2">
        <v>-269533000</v>
      </c>
      <c r="D2">
        <v>63063000</v>
      </c>
      <c r="E2">
        <v>-1034996000</v>
      </c>
    </row>
    <row r="3" spans="1:9" ht="23.25" x14ac:dyDescent="0.35">
      <c r="A3" s="2" t="s">
        <v>90</v>
      </c>
      <c r="B3">
        <v>0.20499999999999999</v>
      </c>
      <c r="C3">
        <v>0.22900000000000001</v>
      </c>
      <c r="D3">
        <v>0.23100000000000001</v>
      </c>
      <c r="E3">
        <v>0.35299999999999998</v>
      </c>
      <c r="H3" s="7" t="s">
        <v>215</v>
      </c>
    </row>
    <row r="4" spans="1:9" x14ac:dyDescent="0.25">
      <c r="A4" s="2" t="s">
        <v>91</v>
      </c>
      <c r="B4">
        <v>20308000000</v>
      </c>
      <c r="C4">
        <v>18044000000</v>
      </c>
      <c r="D4">
        <v>16076000000</v>
      </c>
      <c r="E4">
        <v>15015000000</v>
      </c>
    </row>
    <row r="5" spans="1:9" ht="23.25" x14ac:dyDescent="0.25">
      <c r="A5" s="2" t="s">
        <v>92</v>
      </c>
      <c r="B5">
        <v>138000000</v>
      </c>
      <c r="C5">
        <v>-1177000000</v>
      </c>
      <c r="D5">
        <v>273000000</v>
      </c>
      <c r="E5">
        <v>-2932000000</v>
      </c>
      <c r="H5" s="6" t="s">
        <v>217</v>
      </c>
    </row>
    <row r="6" spans="1:9" x14ac:dyDescent="0.25">
      <c r="A6" s="2" t="s">
        <v>93</v>
      </c>
      <c r="B6">
        <v>138000000</v>
      </c>
      <c r="C6">
        <v>-1177000000</v>
      </c>
      <c r="D6">
        <v>273000000</v>
      </c>
      <c r="E6">
        <v>-2932000000</v>
      </c>
    </row>
    <row r="7" spans="1:9" ht="18.75" x14ac:dyDescent="0.25">
      <c r="A7" s="2" t="s">
        <v>94</v>
      </c>
      <c r="B7">
        <v>7491000000</v>
      </c>
      <c r="C7">
        <v>5441000000</v>
      </c>
      <c r="D7">
        <v>6191000000</v>
      </c>
      <c r="E7">
        <v>3003000000</v>
      </c>
      <c r="H7" s="8" t="s">
        <v>218</v>
      </c>
    </row>
    <row r="8" spans="1:9" x14ac:dyDescent="0.25">
      <c r="A8" s="2" t="s">
        <v>95</v>
      </c>
      <c r="B8">
        <v>5661000000</v>
      </c>
      <c r="C8">
        <v>5167000000</v>
      </c>
      <c r="D8">
        <v>4613000000</v>
      </c>
      <c r="E8">
        <v>4317000000</v>
      </c>
    </row>
    <row r="9" spans="1:9" x14ac:dyDescent="0.25">
      <c r="A9" s="2" t="s">
        <v>96</v>
      </c>
      <c r="B9">
        <v>43697000000</v>
      </c>
      <c r="C9">
        <v>34207000000</v>
      </c>
      <c r="D9">
        <v>25979000000</v>
      </c>
      <c r="E9">
        <v>36906000000</v>
      </c>
      <c r="H9" t="s">
        <v>231</v>
      </c>
    </row>
    <row r="10" spans="1:9" x14ac:dyDescent="0.25">
      <c r="A10" s="2" t="s">
        <v>97</v>
      </c>
      <c r="B10">
        <v>20446000000</v>
      </c>
      <c r="C10">
        <v>16867000000</v>
      </c>
      <c r="D10">
        <v>16349000000</v>
      </c>
      <c r="E10">
        <v>12083000000</v>
      </c>
      <c r="H10">
        <f>(B53-B52)/B53</f>
        <v>0.329738933030647</v>
      </c>
      <c r="I10" s="3">
        <v>0.32</v>
      </c>
    </row>
    <row r="11" spans="1:9" x14ac:dyDescent="0.25">
      <c r="A11" s="2" t="s">
        <v>98</v>
      </c>
      <c r="B11">
        <v>14785000000</v>
      </c>
      <c r="C11">
        <v>11700000000</v>
      </c>
      <c r="D11">
        <v>11736000000</v>
      </c>
      <c r="E11">
        <v>7766000000</v>
      </c>
    </row>
    <row r="12" spans="1:9" x14ac:dyDescent="0.25">
      <c r="A12" s="2" t="s">
        <v>99</v>
      </c>
      <c r="B12">
        <v>-5023000000</v>
      </c>
      <c r="C12">
        <v>-4419000000</v>
      </c>
      <c r="D12">
        <v>-3812000000</v>
      </c>
      <c r="E12">
        <v>-3179000000</v>
      </c>
    </row>
    <row r="13" spans="1:9" x14ac:dyDescent="0.25">
      <c r="A13" s="2" t="s">
        <v>100</v>
      </c>
      <c r="B13">
        <v>4992000000</v>
      </c>
      <c r="C13">
        <v>4401000000</v>
      </c>
      <c r="D13">
        <v>3857000000</v>
      </c>
      <c r="E13">
        <v>3224000000</v>
      </c>
      <c r="H13" t="s">
        <v>210</v>
      </c>
    </row>
    <row r="14" spans="1:9" x14ac:dyDescent="0.25">
      <c r="A14" s="2" t="s">
        <v>101</v>
      </c>
      <c r="B14">
        <v>7381290000</v>
      </c>
      <c r="C14">
        <v>6348467000</v>
      </c>
      <c r="D14">
        <v>5981063000</v>
      </c>
      <c r="E14">
        <v>4900004000</v>
      </c>
      <c r="H14">
        <f>B44/B53</f>
        <v>0.17682608829033347</v>
      </c>
      <c r="I14" s="3">
        <v>0.17</v>
      </c>
    </row>
    <row r="15" spans="1:9" x14ac:dyDescent="0.25">
      <c r="A15" s="2" t="s">
        <v>102</v>
      </c>
      <c r="B15">
        <v>7491000000</v>
      </c>
      <c r="C15">
        <v>5441000000</v>
      </c>
      <c r="D15">
        <v>6191000000</v>
      </c>
      <c r="E15">
        <v>3003000000</v>
      </c>
    </row>
    <row r="16" spans="1:9" x14ac:dyDescent="0.25">
      <c r="A16" s="2" t="s">
        <v>103</v>
      </c>
      <c r="B16">
        <v>53666000000</v>
      </c>
      <c r="C16">
        <v>43634000000</v>
      </c>
      <c r="D16">
        <v>34579000000</v>
      </c>
      <c r="E16">
        <v>45125000000</v>
      </c>
      <c r="H16" t="s">
        <v>211</v>
      </c>
    </row>
    <row r="17" spans="1:9" x14ac:dyDescent="0.25">
      <c r="A17" s="2" t="s">
        <v>104</v>
      </c>
      <c r="B17">
        <v>10958000000</v>
      </c>
      <c r="C17">
        <v>9649000000</v>
      </c>
      <c r="D17">
        <v>8651000000</v>
      </c>
      <c r="E17">
        <v>5178000000</v>
      </c>
      <c r="H17">
        <f>B25/B53</f>
        <v>0.11490321195202012</v>
      </c>
      <c r="I17" s="3">
        <v>0.11</v>
      </c>
    </row>
    <row r="18" spans="1:9" x14ac:dyDescent="0.25">
      <c r="A18" s="2" t="s">
        <v>105</v>
      </c>
      <c r="B18">
        <v>2186000000</v>
      </c>
      <c r="C18">
        <v>2158000000</v>
      </c>
      <c r="D18">
        <v>2058000000</v>
      </c>
      <c r="E18">
        <v>2029000000</v>
      </c>
    </row>
    <row r="19" spans="1:9" x14ac:dyDescent="0.25">
      <c r="A19" s="2" t="s">
        <v>106</v>
      </c>
      <c r="B19">
        <v>2180000000</v>
      </c>
      <c r="C19">
        <v>2155000000</v>
      </c>
      <c r="D19">
        <v>2056000000</v>
      </c>
      <c r="E19">
        <v>2025000000</v>
      </c>
      <c r="H19" t="s">
        <v>212</v>
      </c>
    </row>
    <row r="20" spans="1:9" x14ac:dyDescent="0.25">
      <c r="A20" s="2" t="s">
        <v>107</v>
      </c>
      <c r="B20">
        <v>3.22</v>
      </c>
      <c r="C20">
        <v>2.34</v>
      </c>
      <c r="D20">
        <v>2.84</v>
      </c>
      <c r="E20">
        <v>1.28</v>
      </c>
      <c r="H20">
        <f>B25/'Balance Sheet'!B50</f>
        <v>3.4287675935461726E-2</v>
      </c>
      <c r="I20" s="4">
        <v>3.4000000000000002E-2</v>
      </c>
    </row>
    <row r="21" spans="1:9" x14ac:dyDescent="0.25">
      <c r="A21" s="2" t="s">
        <v>108</v>
      </c>
      <c r="B21">
        <v>3.23</v>
      </c>
      <c r="C21">
        <v>2.34</v>
      </c>
      <c r="D21">
        <v>2.84</v>
      </c>
      <c r="E21">
        <v>1.28</v>
      </c>
    </row>
    <row r="22" spans="1:9" x14ac:dyDescent="0.25">
      <c r="A22" s="2" t="s">
        <v>109</v>
      </c>
      <c r="B22">
        <v>7072000000</v>
      </c>
      <c r="C22">
        <v>5053000000</v>
      </c>
      <c r="D22">
        <v>5839000000</v>
      </c>
      <c r="E22">
        <v>2589000000</v>
      </c>
      <c r="H22" t="s">
        <v>213</v>
      </c>
    </row>
    <row r="23" spans="1:9" x14ac:dyDescent="0.25">
      <c r="A23" s="2" t="s">
        <v>110</v>
      </c>
      <c r="B23">
        <v>7072000000</v>
      </c>
      <c r="C23">
        <v>5053000000</v>
      </c>
      <c r="D23">
        <v>5839000000</v>
      </c>
      <c r="E23">
        <v>2589000000</v>
      </c>
      <c r="H23">
        <f>B25/'Balance Sheet'!B17</f>
        <v>0.1201771132465949</v>
      </c>
      <c r="I23" s="3">
        <v>0.12</v>
      </c>
    </row>
    <row r="24" spans="1:9" x14ac:dyDescent="0.25">
      <c r="A24" s="2" t="s">
        <v>111</v>
      </c>
      <c r="B24">
        <v>419000000</v>
      </c>
      <c r="C24">
        <v>388000000</v>
      </c>
      <c r="D24">
        <v>352000000</v>
      </c>
      <c r="E24">
        <v>414000000</v>
      </c>
    </row>
    <row r="25" spans="1:9" x14ac:dyDescent="0.25">
      <c r="A25" s="2" t="s">
        <v>112</v>
      </c>
      <c r="B25">
        <v>7491000000</v>
      </c>
      <c r="C25">
        <v>5441000000</v>
      </c>
      <c r="D25">
        <v>6191000000</v>
      </c>
      <c r="E25">
        <v>3003000000</v>
      </c>
      <c r="H25" t="s">
        <v>214</v>
      </c>
    </row>
    <row r="26" spans="1:9" x14ac:dyDescent="0.25">
      <c r="A26" s="2" t="s">
        <v>113</v>
      </c>
      <c r="B26">
        <v>-298000000</v>
      </c>
      <c r="C26">
        <v>-190000000</v>
      </c>
      <c r="D26">
        <v>133000000</v>
      </c>
      <c r="E26">
        <v>65000000</v>
      </c>
      <c r="H26">
        <f>B23/B18</f>
        <v>3.2351326623970724</v>
      </c>
      <c r="I26">
        <v>3.23</v>
      </c>
    </row>
    <row r="27" spans="1:9" x14ac:dyDescent="0.25">
      <c r="A27" s="2" t="s">
        <v>114</v>
      </c>
      <c r="B27">
        <v>7789000000</v>
      </c>
      <c r="C27">
        <v>5631000000</v>
      </c>
      <c r="D27">
        <v>6058000000</v>
      </c>
      <c r="E27">
        <v>2938000000</v>
      </c>
    </row>
    <row r="28" spans="1:9" x14ac:dyDescent="0.25">
      <c r="A28" s="2" t="s">
        <v>115</v>
      </c>
      <c r="B28">
        <v>7789000000</v>
      </c>
      <c r="C28">
        <v>5631000000</v>
      </c>
      <c r="D28">
        <v>6058000000</v>
      </c>
      <c r="E28">
        <v>2938000000</v>
      </c>
    </row>
    <row r="29" spans="1:9" ht="18.75" x14ac:dyDescent="0.3">
      <c r="A29" s="2" t="s">
        <v>116</v>
      </c>
      <c r="B29">
        <v>2004000000</v>
      </c>
      <c r="C29">
        <v>1668000000</v>
      </c>
      <c r="D29">
        <v>1821000000</v>
      </c>
      <c r="E29">
        <v>1604000000</v>
      </c>
      <c r="H29" s="5" t="s">
        <v>216</v>
      </c>
    </row>
    <row r="30" spans="1:9" x14ac:dyDescent="0.25">
      <c r="A30" s="2" t="s">
        <v>117</v>
      </c>
      <c r="B30">
        <v>9793000000</v>
      </c>
      <c r="C30">
        <v>7299000000</v>
      </c>
      <c r="D30">
        <v>7879000000</v>
      </c>
      <c r="E30">
        <v>4542000000</v>
      </c>
    </row>
    <row r="31" spans="1:9" x14ac:dyDescent="0.25">
      <c r="A31" s="2" t="s">
        <v>118</v>
      </c>
      <c r="B31">
        <v>3288000000</v>
      </c>
      <c r="C31">
        <v>1879000000</v>
      </c>
      <c r="D31">
        <v>2621000000</v>
      </c>
      <c r="E31">
        <v>-463000000</v>
      </c>
      <c r="H31" t="s">
        <v>219</v>
      </c>
    </row>
    <row r="32" spans="1:9" x14ac:dyDescent="0.25">
      <c r="A32" s="2" t="s">
        <v>119</v>
      </c>
      <c r="B32">
        <v>926000000</v>
      </c>
      <c r="C32">
        <v>752000000</v>
      </c>
      <c r="D32">
        <v>532000000</v>
      </c>
      <c r="E32">
        <v>413000000</v>
      </c>
      <c r="H32">
        <f>'Balance Sheet'!B75/'Balance Sheet'!B33</f>
        <v>0.62821367358598357</v>
      </c>
      <c r="I32">
        <v>0.63</v>
      </c>
    </row>
    <row r="33" spans="1:9" x14ac:dyDescent="0.25">
      <c r="A33" s="2" t="s">
        <v>120</v>
      </c>
      <c r="B33">
        <v>-570000000</v>
      </c>
      <c r="C33">
        <v>901000000</v>
      </c>
      <c r="D33">
        <v>-419000000</v>
      </c>
      <c r="E33">
        <v>-1930000000</v>
      </c>
    </row>
    <row r="34" spans="1:9" x14ac:dyDescent="0.25">
      <c r="A34" s="2" t="s">
        <v>121</v>
      </c>
      <c r="D34">
        <v>15000000</v>
      </c>
      <c r="E34">
        <v>-12000000</v>
      </c>
      <c r="F34">
        <v>319000000</v>
      </c>
      <c r="H34" t="s">
        <v>220</v>
      </c>
    </row>
    <row r="35" spans="1:9" x14ac:dyDescent="0.25">
      <c r="A35" s="2" t="s">
        <v>122</v>
      </c>
      <c r="B35">
        <v>0</v>
      </c>
      <c r="C35">
        <v>1091000000</v>
      </c>
      <c r="D35">
        <v>0</v>
      </c>
      <c r="E35">
        <v>0</v>
      </c>
      <c r="H35">
        <f>('Balance Sheet'!B75-'Balance Sheet'!B79)/'Balance Sheet'!B33</f>
        <v>0.55103789754332511</v>
      </c>
      <c r="I35">
        <v>0.55000000000000004</v>
      </c>
    </row>
    <row r="36" spans="1:9" x14ac:dyDescent="0.25">
      <c r="A36" s="2" t="s">
        <v>123</v>
      </c>
      <c r="E36">
        <v>0</v>
      </c>
      <c r="F36">
        <v>111000000</v>
      </c>
    </row>
    <row r="37" spans="1:9" x14ac:dyDescent="0.25">
      <c r="A37" s="2" t="s">
        <v>124</v>
      </c>
      <c r="B37">
        <v>570000000</v>
      </c>
      <c r="C37">
        <v>190000000</v>
      </c>
      <c r="D37">
        <v>419000000</v>
      </c>
      <c r="E37">
        <v>3006000000</v>
      </c>
      <c r="H37" t="s">
        <v>221</v>
      </c>
    </row>
    <row r="38" spans="1:9" x14ac:dyDescent="0.25">
      <c r="A38" s="2" t="s">
        <v>125</v>
      </c>
      <c r="C38">
        <v>0</v>
      </c>
      <c r="D38">
        <v>0</v>
      </c>
      <c r="E38">
        <v>-1076000000</v>
      </c>
      <c r="F38">
        <v>0</v>
      </c>
      <c r="H38">
        <f>'Balance Sheet'!B89/'Balance Sheet'!B33</f>
        <v>5.2085317082460482E-2</v>
      </c>
      <c r="I38">
        <v>5.1999999999999998E-2</v>
      </c>
    </row>
    <row r="39" spans="1:9" x14ac:dyDescent="0.25">
      <c r="A39" s="2" t="s">
        <v>126</v>
      </c>
      <c r="B39">
        <v>2224000000</v>
      </c>
      <c r="C39">
        <v>2304000000</v>
      </c>
      <c r="D39">
        <v>1816000000</v>
      </c>
      <c r="E39">
        <v>2056000000</v>
      </c>
    </row>
    <row r="40" spans="1:9" ht="18.75" x14ac:dyDescent="0.3">
      <c r="A40" s="2" t="s">
        <v>127</v>
      </c>
      <c r="B40">
        <v>708000000</v>
      </c>
      <c r="C40">
        <v>-2078000000</v>
      </c>
      <c r="D40">
        <v>692000000</v>
      </c>
      <c r="E40">
        <v>-1002000000</v>
      </c>
      <c r="H40" s="5" t="s">
        <v>230</v>
      </c>
    </row>
    <row r="41" spans="1:9" x14ac:dyDescent="0.25">
      <c r="A41" s="2" t="s">
        <v>128</v>
      </c>
      <c r="B41">
        <v>-5023000000</v>
      </c>
      <c r="C41">
        <v>-4419000000</v>
      </c>
      <c r="D41">
        <v>-3812000000</v>
      </c>
      <c r="E41">
        <v>-3179000000</v>
      </c>
    </row>
    <row r="42" spans="1:9" x14ac:dyDescent="0.25">
      <c r="A42" s="2" t="s">
        <v>129</v>
      </c>
      <c r="B42">
        <v>31000000</v>
      </c>
      <c r="C42">
        <v>18000000</v>
      </c>
      <c r="D42">
        <v>-45000000</v>
      </c>
      <c r="E42">
        <v>-45000000</v>
      </c>
      <c r="H42" t="s">
        <v>222</v>
      </c>
    </row>
    <row r="43" spans="1:9" x14ac:dyDescent="0.25">
      <c r="A43" s="2" t="s">
        <v>130</v>
      </c>
      <c r="B43">
        <v>4992000000</v>
      </c>
      <c r="C43">
        <v>4401000000</v>
      </c>
      <c r="D43">
        <v>3857000000</v>
      </c>
      <c r="E43">
        <v>3224000000</v>
      </c>
      <c r="H43">
        <f>54.05/I26</f>
        <v>16.733746130030958</v>
      </c>
      <c r="I43">
        <v>16.73</v>
      </c>
    </row>
    <row r="44" spans="1:9" x14ac:dyDescent="0.25">
      <c r="A44" s="2" t="s">
        <v>131</v>
      </c>
      <c r="B44">
        <v>11528000000</v>
      </c>
      <c r="C44">
        <v>9839000000</v>
      </c>
      <c r="D44">
        <v>9070000000</v>
      </c>
      <c r="E44">
        <v>8184000000</v>
      </c>
    </row>
    <row r="45" spans="1:9" x14ac:dyDescent="0.25">
      <c r="A45" s="2" t="s">
        <v>132</v>
      </c>
      <c r="B45">
        <v>9969000000</v>
      </c>
      <c r="C45">
        <v>9427000000</v>
      </c>
      <c r="D45">
        <v>8600000000</v>
      </c>
      <c r="E45">
        <v>8219000000</v>
      </c>
      <c r="H45" t="s">
        <v>225</v>
      </c>
    </row>
    <row r="46" spans="1:9" x14ac:dyDescent="0.25">
      <c r="A46" s="2" t="s">
        <v>133</v>
      </c>
      <c r="B46">
        <v>9969000000</v>
      </c>
      <c r="C46">
        <v>9427000000</v>
      </c>
      <c r="D46">
        <v>8600000000</v>
      </c>
      <c r="E46">
        <v>8219000000</v>
      </c>
      <c r="H46">
        <f>'Cash Flow'!B19/'Income Statement'!B23</f>
        <v>-1.1623303167420815</v>
      </c>
      <c r="I46">
        <v>1.1599999999999999</v>
      </c>
    </row>
    <row r="47" spans="1:9" x14ac:dyDescent="0.25">
      <c r="A47" s="2" t="s">
        <v>134</v>
      </c>
      <c r="D47">
        <v>-135000000</v>
      </c>
      <c r="E47">
        <v>-239000000</v>
      </c>
      <c r="F47">
        <v>-150000000</v>
      </c>
    </row>
    <row r="48" spans="1:9" x14ac:dyDescent="0.25">
      <c r="A48" s="2" t="s">
        <v>135</v>
      </c>
      <c r="D48">
        <v>-135000000</v>
      </c>
      <c r="E48">
        <v>-239000000</v>
      </c>
      <c r="F48">
        <v>-150000000</v>
      </c>
      <c r="H48" t="s">
        <v>223</v>
      </c>
    </row>
    <row r="49" spans="1:10" x14ac:dyDescent="0.25">
      <c r="A49" s="2" t="s">
        <v>136</v>
      </c>
      <c r="E49">
        <v>8219000000</v>
      </c>
      <c r="F49">
        <v>6712000000</v>
      </c>
      <c r="H49">
        <f>'Balance Sheet'!B7/'Balance Sheet'!B17</f>
        <v>1.6885437890042192</v>
      </c>
      <c r="I49">
        <v>1.68</v>
      </c>
    </row>
    <row r="50" spans="1:10" x14ac:dyDescent="0.25">
      <c r="A50" s="2" t="s">
        <v>137</v>
      </c>
      <c r="D50">
        <v>-135000000</v>
      </c>
      <c r="E50">
        <v>-239000000</v>
      </c>
      <c r="F50">
        <v>-150000000</v>
      </c>
    </row>
    <row r="51" spans="1:10" x14ac:dyDescent="0.25">
      <c r="A51" s="2" t="s">
        <v>138</v>
      </c>
      <c r="B51">
        <v>21497000000</v>
      </c>
      <c r="C51">
        <v>19266000000</v>
      </c>
      <c r="D51">
        <v>17670000000</v>
      </c>
      <c r="E51">
        <v>16403000000</v>
      </c>
      <c r="H51" t="s">
        <v>224</v>
      </c>
    </row>
    <row r="52" spans="1:10" x14ac:dyDescent="0.25">
      <c r="A52" s="2" t="s">
        <v>139</v>
      </c>
      <c r="B52">
        <v>43697000000</v>
      </c>
      <c r="C52">
        <v>34207000000</v>
      </c>
      <c r="D52">
        <v>25979000000</v>
      </c>
      <c r="E52">
        <v>36906000000</v>
      </c>
      <c r="H52" t="s">
        <v>226</v>
      </c>
    </row>
    <row r="53" spans="1:10" x14ac:dyDescent="0.25">
      <c r="A53" s="2" t="s">
        <v>140</v>
      </c>
      <c r="B53">
        <v>65194000000</v>
      </c>
      <c r="C53">
        <v>53473000000</v>
      </c>
      <c r="D53">
        <v>43649000000</v>
      </c>
      <c r="E53">
        <v>53309000000</v>
      </c>
      <c r="H53" t="s">
        <v>227</v>
      </c>
    </row>
    <row r="54" spans="1:10" x14ac:dyDescent="0.25">
      <c r="A54" s="2" t="s">
        <v>141</v>
      </c>
      <c r="B54">
        <v>65194000000</v>
      </c>
      <c r="C54">
        <v>53473000000</v>
      </c>
      <c r="D54">
        <v>43649000000</v>
      </c>
      <c r="E54">
        <v>53309000000</v>
      </c>
    </row>
    <row r="55" spans="1:10" x14ac:dyDescent="0.25">
      <c r="H55" t="s">
        <v>228</v>
      </c>
      <c r="I55">
        <f xml:space="preserve"> 1-I46</f>
        <v>-0.15999999999999992</v>
      </c>
    </row>
    <row r="56" spans="1:10" x14ac:dyDescent="0.25">
      <c r="H56" t="s">
        <v>229</v>
      </c>
      <c r="I56">
        <f>I23*I55</f>
        <v>-1.9199999999999991E-2</v>
      </c>
      <c r="J56" s="4">
        <v>1.9199999999999998E-2</v>
      </c>
    </row>
    <row r="59" spans="1:10" x14ac:dyDescent="0.25">
      <c r="H59" s="9"/>
    </row>
    <row r="60" spans="1:10" x14ac:dyDescent="0.25">
      <c r="H60" s="9"/>
    </row>
    <row r="61" spans="1:10" x14ac:dyDescent="0.25">
      <c r="H61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selection activeCell="B60" sqref="B60"/>
    </sheetView>
  </sheetViews>
  <sheetFormatPr defaultRowHeight="15" x14ac:dyDescent="0.25"/>
  <cols>
    <col min="1" max="1" width="44.140625" bestFit="1" customWidth="1"/>
    <col min="2" max="6" width="18.28515625" bestFit="1" customWidth="1"/>
  </cols>
  <sheetData>
    <row r="1" spans="1:6" x14ac:dyDescent="0.25">
      <c r="B1" s="1">
        <v>46022</v>
      </c>
      <c r="C1" s="1">
        <v>45657</v>
      </c>
      <c r="D1" s="1">
        <v>45291</v>
      </c>
      <c r="E1" s="1">
        <v>44926</v>
      </c>
      <c r="F1" s="1">
        <v>44561</v>
      </c>
    </row>
    <row r="2" spans="1:6" x14ac:dyDescent="0.25">
      <c r="A2" s="2" t="s">
        <v>142</v>
      </c>
      <c r="B2">
        <v>3105000000</v>
      </c>
      <c r="C2">
        <v>5670000000</v>
      </c>
      <c r="D2">
        <v>9325000000</v>
      </c>
      <c r="E2">
        <v>6409000000</v>
      </c>
    </row>
    <row r="3" spans="1:6" x14ac:dyDescent="0.25">
      <c r="A3" s="2" t="s">
        <v>143</v>
      </c>
      <c r="B3">
        <v>0</v>
      </c>
      <c r="C3">
        <v>0</v>
      </c>
      <c r="D3">
        <v>-125000000</v>
      </c>
      <c r="E3">
        <v>-1154000000</v>
      </c>
    </row>
    <row r="4" spans="1:6" x14ac:dyDescent="0.25">
      <c r="A4" s="2" t="s">
        <v>144</v>
      </c>
      <c r="B4">
        <v>-6849000000</v>
      </c>
      <c r="C4">
        <v>-6633000000</v>
      </c>
      <c r="D4">
        <v>-4819000000</v>
      </c>
      <c r="E4">
        <v>-4198000000</v>
      </c>
    </row>
    <row r="5" spans="1:6" x14ac:dyDescent="0.25">
      <c r="A5" s="2" t="s">
        <v>145</v>
      </c>
      <c r="B5">
        <v>10997000000</v>
      </c>
      <c r="C5">
        <v>9645000000</v>
      </c>
      <c r="D5">
        <v>15448000000</v>
      </c>
      <c r="E5">
        <v>7547000000</v>
      </c>
    </row>
    <row r="6" spans="1:6" x14ac:dyDescent="0.25">
      <c r="A6" s="2" t="s">
        <v>146</v>
      </c>
      <c r="B6">
        <v>28000000</v>
      </c>
      <c r="C6">
        <v>2485000000</v>
      </c>
      <c r="D6">
        <v>4450000000</v>
      </c>
      <c r="E6">
        <v>3000000</v>
      </c>
    </row>
    <row r="7" spans="1:6" x14ac:dyDescent="0.25">
      <c r="A7" s="2" t="s">
        <v>147</v>
      </c>
      <c r="B7">
        <v>-9165000000</v>
      </c>
      <c r="C7">
        <v>-6930000000</v>
      </c>
      <c r="D7">
        <v>-4876000000</v>
      </c>
      <c r="E7">
        <v>-4821000000</v>
      </c>
    </row>
    <row r="8" spans="1:6" x14ac:dyDescent="0.25">
      <c r="A8" s="2" t="s">
        <v>148</v>
      </c>
      <c r="B8">
        <v>4924000000</v>
      </c>
      <c r="C8">
        <v>4134000000</v>
      </c>
      <c r="D8">
        <v>3380000000</v>
      </c>
      <c r="E8">
        <v>2920000000</v>
      </c>
    </row>
    <row r="9" spans="1:6" x14ac:dyDescent="0.25">
      <c r="A9" s="2" t="s">
        <v>149</v>
      </c>
      <c r="B9">
        <v>1207000000</v>
      </c>
      <c r="C9">
        <v>861000000</v>
      </c>
      <c r="D9">
        <v>578000000</v>
      </c>
      <c r="E9">
        <v>495000000</v>
      </c>
    </row>
    <row r="10" spans="1:6" x14ac:dyDescent="0.25">
      <c r="A10" s="2" t="s">
        <v>150</v>
      </c>
      <c r="B10">
        <v>1320000000</v>
      </c>
      <c r="C10">
        <v>2000000000</v>
      </c>
      <c r="D10">
        <v>5985000000</v>
      </c>
      <c r="E10">
        <v>907000000</v>
      </c>
    </row>
    <row r="11" spans="1:6" x14ac:dyDescent="0.25">
      <c r="A11" s="2" t="s">
        <v>151</v>
      </c>
      <c r="B11">
        <v>2000000000</v>
      </c>
      <c r="C11">
        <v>5985000000</v>
      </c>
      <c r="D11">
        <v>907000000</v>
      </c>
      <c r="E11">
        <v>320000000</v>
      </c>
    </row>
    <row r="12" spans="1:6" x14ac:dyDescent="0.25">
      <c r="A12" s="2" t="s">
        <v>152</v>
      </c>
      <c r="B12">
        <v>-47000000</v>
      </c>
      <c r="C12">
        <v>234000000</v>
      </c>
      <c r="D12">
        <v>-216000000</v>
      </c>
      <c r="E12">
        <v>55000000</v>
      </c>
    </row>
    <row r="13" spans="1:6" x14ac:dyDescent="0.25">
      <c r="A13" s="2" t="s">
        <v>153</v>
      </c>
      <c r="B13">
        <v>-633000000</v>
      </c>
      <c r="C13">
        <v>-4219000000</v>
      </c>
      <c r="D13">
        <v>5294000000</v>
      </c>
      <c r="E13">
        <v>532000000</v>
      </c>
    </row>
    <row r="14" spans="1:6" x14ac:dyDescent="0.25">
      <c r="A14" s="2" t="s">
        <v>154</v>
      </c>
      <c r="B14">
        <v>-2400000000</v>
      </c>
      <c r="C14">
        <v>3544000000</v>
      </c>
      <c r="D14">
        <v>-2864000000</v>
      </c>
      <c r="E14">
        <v>-5428000000</v>
      </c>
    </row>
    <row r="15" spans="1:6" x14ac:dyDescent="0.25">
      <c r="A15" s="2" t="s">
        <v>155</v>
      </c>
      <c r="B15">
        <v>-2400000000</v>
      </c>
      <c r="C15">
        <v>3544000000</v>
      </c>
      <c r="D15">
        <v>-2864000000</v>
      </c>
      <c r="E15">
        <v>-5428000000</v>
      </c>
    </row>
    <row r="16" spans="1:6" x14ac:dyDescent="0.25">
      <c r="A16" s="2" t="s">
        <v>156</v>
      </c>
      <c r="B16">
        <v>266000000</v>
      </c>
      <c r="C16">
        <v>-369000000</v>
      </c>
      <c r="D16">
        <v>-437000000</v>
      </c>
      <c r="E16">
        <v>532000000</v>
      </c>
    </row>
    <row r="17" spans="1:6" x14ac:dyDescent="0.25">
      <c r="A17" s="2" t="s">
        <v>157</v>
      </c>
      <c r="B17">
        <v>-8639000000</v>
      </c>
      <c r="C17">
        <v>-8262000000</v>
      </c>
      <c r="D17">
        <v>-7628000000</v>
      </c>
      <c r="E17">
        <v>-7306000000</v>
      </c>
    </row>
    <row r="18" spans="1:6" x14ac:dyDescent="0.25">
      <c r="A18" s="2" t="s">
        <v>158</v>
      </c>
      <c r="B18">
        <v>-419000000</v>
      </c>
      <c r="C18">
        <v>-387000000</v>
      </c>
      <c r="D18">
        <v>-352000000</v>
      </c>
      <c r="E18">
        <v>-338000000</v>
      </c>
    </row>
    <row r="19" spans="1:6" x14ac:dyDescent="0.25">
      <c r="A19" s="2" t="s">
        <v>159</v>
      </c>
      <c r="B19">
        <v>-8220000000</v>
      </c>
      <c r="C19">
        <v>-7875000000</v>
      </c>
      <c r="D19">
        <v>-7276000000</v>
      </c>
      <c r="E19">
        <v>-6968000000</v>
      </c>
    </row>
    <row r="20" spans="1:6" x14ac:dyDescent="0.25">
      <c r="A20" s="2" t="s">
        <v>160</v>
      </c>
      <c r="C20">
        <v>0</v>
      </c>
      <c r="D20">
        <v>0</v>
      </c>
      <c r="E20">
        <v>-1003000000</v>
      </c>
      <c r="F20">
        <v>-415000000</v>
      </c>
    </row>
    <row r="21" spans="1:6" x14ac:dyDescent="0.25">
      <c r="A21" s="2" t="s">
        <v>161</v>
      </c>
      <c r="C21">
        <v>0</v>
      </c>
      <c r="D21">
        <v>0</v>
      </c>
      <c r="E21">
        <v>-1003000000</v>
      </c>
      <c r="F21">
        <v>-415000000</v>
      </c>
    </row>
    <row r="22" spans="1:6" x14ac:dyDescent="0.25">
      <c r="A22" s="2" t="s">
        <v>162</v>
      </c>
      <c r="B22">
        <v>28000000</v>
      </c>
      <c r="C22">
        <v>2485000000</v>
      </c>
      <c r="D22">
        <v>4325000000</v>
      </c>
      <c r="E22">
        <v>-148000000</v>
      </c>
    </row>
    <row r="23" spans="1:6" x14ac:dyDescent="0.25">
      <c r="A23" s="2" t="s">
        <v>163</v>
      </c>
      <c r="B23">
        <v>0</v>
      </c>
      <c r="C23">
        <v>0</v>
      </c>
      <c r="D23">
        <v>-125000000</v>
      </c>
      <c r="E23">
        <v>-151000000</v>
      </c>
    </row>
    <row r="24" spans="1:6" x14ac:dyDescent="0.25">
      <c r="A24" s="2" t="s">
        <v>164</v>
      </c>
      <c r="B24">
        <v>28000000</v>
      </c>
      <c r="C24">
        <v>2485000000</v>
      </c>
      <c r="D24">
        <v>4450000000</v>
      </c>
      <c r="E24">
        <v>3000000</v>
      </c>
    </row>
    <row r="25" spans="1:6" x14ac:dyDescent="0.25">
      <c r="A25" s="2" t="s">
        <v>165</v>
      </c>
      <c r="B25">
        <v>5945000000</v>
      </c>
      <c r="C25">
        <v>9690000000</v>
      </c>
      <c r="D25">
        <v>876000000</v>
      </c>
      <c r="E25">
        <v>2497000000</v>
      </c>
    </row>
    <row r="26" spans="1:6" x14ac:dyDescent="0.25">
      <c r="A26" s="2" t="s">
        <v>166</v>
      </c>
      <c r="B26">
        <v>1797000000</v>
      </c>
      <c r="C26">
        <v>6678000000</v>
      </c>
      <c r="D26">
        <v>-9753000000</v>
      </c>
      <c r="E26">
        <v>-852000000</v>
      </c>
    </row>
    <row r="27" spans="1:6" x14ac:dyDescent="0.25">
      <c r="A27" s="2" t="s">
        <v>167</v>
      </c>
      <c r="F27">
        <v>3354000000</v>
      </c>
    </row>
    <row r="28" spans="1:6" x14ac:dyDescent="0.25">
      <c r="A28" s="2" t="s">
        <v>168</v>
      </c>
      <c r="B28">
        <v>4148000000</v>
      </c>
      <c r="C28">
        <v>3012000000</v>
      </c>
      <c r="D28">
        <v>10629000000</v>
      </c>
      <c r="E28">
        <v>3349000000</v>
      </c>
    </row>
    <row r="29" spans="1:6" x14ac:dyDescent="0.25">
      <c r="A29" s="2" t="s">
        <v>169</v>
      </c>
      <c r="B29">
        <v>-6849000000</v>
      </c>
      <c r="C29">
        <v>-6633000000</v>
      </c>
      <c r="D29">
        <v>-4819000000</v>
      </c>
      <c r="E29">
        <v>-4198000000</v>
      </c>
    </row>
    <row r="30" spans="1:6" x14ac:dyDescent="0.25">
      <c r="A30" s="2" t="s">
        <v>170</v>
      </c>
      <c r="B30">
        <v>10997000000</v>
      </c>
      <c r="C30">
        <v>9645000000</v>
      </c>
      <c r="D30">
        <v>15448000000</v>
      </c>
      <c r="E30">
        <v>7547000000</v>
      </c>
    </row>
    <row r="31" spans="1:6" x14ac:dyDescent="0.25">
      <c r="A31" s="2" t="s">
        <v>171</v>
      </c>
      <c r="B31">
        <v>-10503000000</v>
      </c>
      <c r="C31">
        <v>-20363000000</v>
      </c>
      <c r="D31">
        <v>-6043000000</v>
      </c>
      <c r="E31">
        <v>-5270000000</v>
      </c>
    </row>
    <row r="32" spans="1:6" x14ac:dyDescent="0.25">
      <c r="A32" s="2" t="s">
        <v>172</v>
      </c>
      <c r="B32">
        <v>-10503000000</v>
      </c>
      <c r="C32">
        <v>-20363000000</v>
      </c>
      <c r="D32">
        <v>-6043000000</v>
      </c>
      <c r="E32">
        <v>-5270000000</v>
      </c>
    </row>
    <row r="33" spans="1:6" x14ac:dyDescent="0.25">
      <c r="A33" s="2" t="s">
        <v>173</v>
      </c>
      <c r="B33">
        <v>-46000000</v>
      </c>
      <c r="C33">
        <v>-54000000</v>
      </c>
      <c r="D33">
        <v>-88000000</v>
      </c>
      <c r="E33">
        <v>135000000</v>
      </c>
    </row>
    <row r="34" spans="1:6" x14ac:dyDescent="0.25">
      <c r="A34" s="2" t="s">
        <v>174</v>
      </c>
      <c r="B34">
        <v>681000000</v>
      </c>
      <c r="C34">
        <v>785000000</v>
      </c>
      <c r="D34">
        <v>1151000000</v>
      </c>
      <c r="E34">
        <v>763000000</v>
      </c>
    </row>
    <row r="35" spans="1:6" x14ac:dyDescent="0.25">
      <c r="A35" s="2" t="s">
        <v>175</v>
      </c>
      <c r="B35">
        <v>-2322000000</v>
      </c>
      <c r="C35">
        <v>-3416000000</v>
      </c>
      <c r="D35">
        <v>-1276000000</v>
      </c>
      <c r="E35">
        <v>-1041000000</v>
      </c>
    </row>
    <row r="36" spans="1:6" x14ac:dyDescent="0.25">
      <c r="A36" s="2" t="s">
        <v>176</v>
      </c>
      <c r="D36">
        <v>-1276000000</v>
      </c>
      <c r="E36">
        <v>-1041000000</v>
      </c>
      <c r="F36">
        <v>-640000000</v>
      </c>
    </row>
    <row r="37" spans="1:6" x14ac:dyDescent="0.25">
      <c r="A37" s="2" t="s">
        <v>177</v>
      </c>
      <c r="B37">
        <v>349000000</v>
      </c>
      <c r="C37">
        <v>-10748000000</v>
      </c>
      <c r="D37">
        <v>-954000000</v>
      </c>
      <c r="E37">
        <v>-306000000</v>
      </c>
    </row>
    <row r="38" spans="1:6" x14ac:dyDescent="0.25">
      <c r="A38" s="2" t="s">
        <v>178</v>
      </c>
      <c r="B38">
        <v>349000000</v>
      </c>
      <c r="C38">
        <v>2724000000</v>
      </c>
      <c r="D38">
        <v>0</v>
      </c>
      <c r="E38">
        <v>522000000</v>
      </c>
    </row>
    <row r="39" spans="1:6" x14ac:dyDescent="0.25">
      <c r="A39" s="2" t="s">
        <v>179</v>
      </c>
      <c r="B39">
        <v>0</v>
      </c>
      <c r="C39">
        <v>-13472000000</v>
      </c>
      <c r="D39">
        <v>-954000000</v>
      </c>
      <c r="E39">
        <v>-828000000</v>
      </c>
    </row>
    <row r="40" spans="1:6" x14ac:dyDescent="0.25">
      <c r="A40" s="2" t="s">
        <v>180</v>
      </c>
      <c r="B40">
        <v>-192000000</v>
      </c>
      <c r="C40">
        <v>-219000000</v>
      </c>
      <c r="D40">
        <v>-222000000</v>
      </c>
      <c r="E40">
        <v>-174000000</v>
      </c>
    </row>
    <row r="41" spans="1:6" x14ac:dyDescent="0.25">
      <c r="A41" s="2" t="s">
        <v>181</v>
      </c>
      <c r="B41">
        <v>-192000000</v>
      </c>
      <c r="C41">
        <v>-219000000</v>
      </c>
      <c r="D41">
        <v>-222000000</v>
      </c>
      <c r="E41">
        <v>-174000000</v>
      </c>
    </row>
    <row r="42" spans="1:6" x14ac:dyDescent="0.25">
      <c r="A42" s="2" t="s">
        <v>182</v>
      </c>
      <c r="B42">
        <v>-8973000000</v>
      </c>
      <c r="C42">
        <v>-6711000000</v>
      </c>
      <c r="D42">
        <v>-4654000000</v>
      </c>
      <c r="E42">
        <v>-4647000000</v>
      </c>
    </row>
    <row r="43" spans="1:6" x14ac:dyDescent="0.25">
      <c r="A43" s="2" t="s">
        <v>183</v>
      </c>
      <c r="B43">
        <v>12270000000</v>
      </c>
      <c r="C43">
        <v>12600000000</v>
      </c>
      <c r="D43">
        <v>14201000000</v>
      </c>
      <c r="E43">
        <v>11230000000</v>
      </c>
    </row>
    <row r="44" spans="1:6" x14ac:dyDescent="0.25">
      <c r="A44" s="2" t="s">
        <v>184</v>
      </c>
      <c r="B44">
        <v>12270000000</v>
      </c>
      <c r="C44">
        <v>12600000000</v>
      </c>
      <c r="D44">
        <v>14201000000</v>
      </c>
      <c r="E44">
        <v>11230000000</v>
      </c>
    </row>
    <row r="45" spans="1:6" x14ac:dyDescent="0.25">
      <c r="A45" s="2" t="s">
        <v>185</v>
      </c>
      <c r="B45">
        <v>2066000000</v>
      </c>
      <c r="C45">
        <v>2121000000</v>
      </c>
      <c r="D45">
        <v>1998000000</v>
      </c>
      <c r="E45">
        <v>1827000000</v>
      </c>
    </row>
    <row r="46" spans="1:6" x14ac:dyDescent="0.25">
      <c r="A46" s="2" t="s">
        <v>186</v>
      </c>
      <c r="B46">
        <v>-1405000000</v>
      </c>
      <c r="C46">
        <v>-133000000</v>
      </c>
      <c r="D46">
        <v>2311000000</v>
      </c>
      <c r="E46">
        <v>-12000000</v>
      </c>
    </row>
    <row r="47" spans="1:6" x14ac:dyDescent="0.25">
      <c r="A47" s="2" t="s">
        <v>187</v>
      </c>
      <c r="D47">
        <v>23000000</v>
      </c>
      <c r="E47">
        <v>1000000</v>
      </c>
      <c r="F47">
        <v>-195000000</v>
      </c>
    </row>
    <row r="48" spans="1:6" x14ac:dyDescent="0.25">
      <c r="A48" s="2" t="s">
        <v>188</v>
      </c>
      <c r="B48">
        <v>-960000000</v>
      </c>
      <c r="C48">
        <v>245000000</v>
      </c>
      <c r="D48">
        <v>513000000</v>
      </c>
      <c r="E48">
        <v>877000000</v>
      </c>
    </row>
    <row r="49" spans="1:5" x14ac:dyDescent="0.25">
      <c r="A49" s="2" t="s">
        <v>189</v>
      </c>
      <c r="B49">
        <v>-89000000</v>
      </c>
      <c r="C49">
        <v>-426000000</v>
      </c>
      <c r="D49">
        <v>1301000000</v>
      </c>
      <c r="E49">
        <v>-394000000</v>
      </c>
    </row>
    <row r="50" spans="1:5" x14ac:dyDescent="0.25">
      <c r="A50" s="2" t="s">
        <v>190</v>
      </c>
      <c r="B50">
        <v>329000000</v>
      </c>
      <c r="C50">
        <v>1532000000</v>
      </c>
      <c r="D50">
        <v>-1409000000</v>
      </c>
      <c r="E50">
        <v>659000000</v>
      </c>
    </row>
    <row r="51" spans="1:5" x14ac:dyDescent="0.25">
      <c r="A51" s="2" t="s">
        <v>191</v>
      </c>
      <c r="B51">
        <v>-54000000</v>
      </c>
      <c r="C51">
        <v>157000000</v>
      </c>
      <c r="D51">
        <v>199000000</v>
      </c>
      <c r="E51">
        <v>58000000</v>
      </c>
    </row>
    <row r="52" spans="1:5" x14ac:dyDescent="0.25">
      <c r="A52" s="2" t="s">
        <v>192</v>
      </c>
      <c r="B52">
        <v>-54000000</v>
      </c>
      <c r="C52">
        <v>157000000</v>
      </c>
      <c r="D52">
        <v>199000000</v>
      </c>
      <c r="E52">
        <v>58000000</v>
      </c>
    </row>
    <row r="53" spans="1:5" x14ac:dyDescent="0.25">
      <c r="A53" s="2" t="s">
        <v>193</v>
      </c>
      <c r="B53">
        <v>383000000</v>
      </c>
      <c r="C53">
        <v>1375000000</v>
      </c>
      <c r="D53">
        <v>-1608000000</v>
      </c>
      <c r="E53">
        <v>601000000</v>
      </c>
    </row>
    <row r="54" spans="1:5" x14ac:dyDescent="0.25">
      <c r="A54" s="2" t="s">
        <v>194</v>
      </c>
      <c r="B54">
        <v>383000000</v>
      </c>
      <c r="C54">
        <v>1375000000</v>
      </c>
      <c r="D54">
        <v>-1608000000</v>
      </c>
      <c r="E54">
        <v>601000000</v>
      </c>
    </row>
    <row r="55" spans="1:5" x14ac:dyDescent="0.25">
      <c r="A55" s="2" t="s">
        <v>195</v>
      </c>
      <c r="B55">
        <v>-166000000</v>
      </c>
      <c r="C55">
        <v>177000000</v>
      </c>
      <c r="D55">
        <v>763000000</v>
      </c>
      <c r="E55">
        <v>-599000000</v>
      </c>
    </row>
    <row r="56" spans="1:5" x14ac:dyDescent="0.25">
      <c r="A56" s="2" t="s">
        <v>196</v>
      </c>
      <c r="B56">
        <v>-519000000</v>
      </c>
      <c r="C56">
        <v>-1661000000</v>
      </c>
      <c r="D56">
        <v>1143000000</v>
      </c>
      <c r="E56">
        <v>-555000000</v>
      </c>
    </row>
    <row r="57" spans="1:5" x14ac:dyDescent="0.25">
      <c r="A57" s="2" t="s">
        <v>197</v>
      </c>
      <c r="B57">
        <v>-519000000</v>
      </c>
      <c r="C57">
        <v>-1661000000</v>
      </c>
      <c r="D57">
        <v>1143000000</v>
      </c>
      <c r="E57">
        <v>-555000000</v>
      </c>
    </row>
    <row r="58" spans="1:5" x14ac:dyDescent="0.25">
      <c r="A58" s="2" t="s">
        <v>198</v>
      </c>
      <c r="B58">
        <v>122000000</v>
      </c>
      <c r="C58">
        <v>218000000</v>
      </c>
      <c r="D58">
        <v>378000000</v>
      </c>
      <c r="E58">
        <v>-1027000000</v>
      </c>
    </row>
    <row r="59" spans="1:5" x14ac:dyDescent="0.25">
      <c r="A59" s="2" t="s">
        <v>199</v>
      </c>
      <c r="B59">
        <v>570000000</v>
      </c>
      <c r="C59">
        <v>190000000</v>
      </c>
      <c r="D59">
        <v>419000000</v>
      </c>
      <c r="E59">
        <v>3006000000</v>
      </c>
    </row>
    <row r="60" spans="1:5" x14ac:dyDescent="0.25">
      <c r="A60" s="2" t="s">
        <v>200</v>
      </c>
      <c r="B60">
        <v>1025000000</v>
      </c>
      <c r="C60">
        <v>719000000</v>
      </c>
      <c r="D60">
        <v>1420000000</v>
      </c>
      <c r="E60">
        <v>957000000</v>
      </c>
    </row>
    <row r="61" spans="1:5" x14ac:dyDescent="0.25">
      <c r="A61" s="2" t="s">
        <v>201</v>
      </c>
      <c r="B61">
        <v>1025000000</v>
      </c>
      <c r="C61">
        <v>719000000</v>
      </c>
      <c r="D61">
        <v>1420000000</v>
      </c>
      <c r="E61">
        <v>957000000</v>
      </c>
    </row>
    <row r="62" spans="1:5" x14ac:dyDescent="0.25">
      <c r="A62" s="2" t="s">
        <v>202</v>
      </c>
      <c r="B62">
        <v>5661000000</v>
      </c>
      <c r="C62">
        <v>5167000000</v>
      </c>
      <c r="D62">
        <v>4613000000</v>
      </c>
      <c r="E62">
        <v>4317000000</v>
      </c>
    </row>
    <row r="63" spans="1:5" x14ac:dyDescent="0.25">
      <c r="A63" s="2" t="s">
        <v>203</v>
      </c>
      <c r="B63">
        <v>5661000000</v>
      </c>
      <c r="C63">
        <v>5167000000</v>
      </c>
      <c r="D63">
        <v>4613000000</v>
      </c>
      <c r="E63">
        <v>4317000000</v>
      </c>
    </row>
    <row r="64" spans="1:5" x14ac:dyDescent="0.25">
      <c r="A64" s="2" t="s">
        <v>204</v>
      </c>
      <c r="B64">
        <v>-3558000000</v>
      </c>
      <c r="C64">
        <v>-1313000000</v>
      </c>
      <c r="D64">
        <v>-2996000000</v>
      </c>
      <c r="E64">
        <v>-776000000</v>
      </c>
    </row>
    <row r="65" spans="1:5" x14ac:dyDescent="0.25">
      <c r="A65" s="2" t="s">
        <v>205</v>
      </c>
      <c r="B65">
        <v>-2224000000</v>
      </c>
      <c r="C65">
        <v>-2304000000</v>
      </c>
      <c r="D65">
        <v>-1816000000</v>
      </c>
      <c r="E65">
        <v>-2056000000</v>
      </c>
    </row>
    <row r="66" spans="1:5" x14ac:dyDescent="0.25">
      <c r="A66" s="2" t="s">
        <v>206</v>
      </c>
      <c r="B66">
        <v>-1334000000</v>
      </c>
      <c r="C66">
        <v>2082000000</v>
      </c>
      <c r="D66">
        <v>-1180000000</v>
      </c>
      <c r="E66">
        <v>1280000000</v>
      </c>
    </row>
    <row r="67" spans="1:5" x14ac:dyDescent="0.25">
      <c r="A67" s="2" t="s">
        <v>207</v>
      </c>
      <c r="B67">
        <v>0</v>
      </c>
      <c r="C67">
        <v>-1091000000</v>
      </c>
      <c r="D67">
        <v>0</v>
      </c>
      <c r="E67">
        <v>0</v>
      </c>
    </row>
    <row r="68" spans="1:5" x14ac:dyDescent="0.25">
      <c r="A68" s="2" t="s">
        <v>208</v>
      </c>
      <c r="B68">
        <v>7789000000</v>
      </c>
      <c r="C68">
        <v>5631000000</v>
      </c>
      <c r="D68">
        <v>6058000000</v>
      </c>
      <c r="E68">
        <v>2938000000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Dev</cp:lastModifiedBy>
  <dcterms:created xsi:type="dcterms:W3CDTF">2026-03-11T00:11:34Z</dcterms:created>
  <dcterms:modified xsi:type="dcterms:W3CDTF">2026-03-29T00:55:55Z</dcterms:modified>
</cp:coreProperties>
</file>