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atel\Downloads\finance\project\"/>
    </mc:Choice>
  </mc:AlternateContent>
  <xr:revisionPtr revIDLastSave="0" documentId="13_ncr:1_{4CA29DAC-965A-4BC7-BAA8-194A213814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B Stock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3" i="1"/>
  <c r="K10" i="1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3" i="1"/>
  <c r="K15" i="1" s="1"/>
  <c r="K9" i="1" l="1"/>
  <c r="K19" i="1" s="1"/>
  <c r="K13" i="1"/>
  <c r="K14" i="1"/>
</calcChain>
</file>

<file path=xl/sharedStrings.xml><?xml version="1.0" encoding="utf-8"?>
<sst xmlns="http://schemas.openxmlformats.org/spreadsheetml/2006/main" count="25" uniqueCount="24">
  <si>
    <t>Date</t>
  </si>
  <si>
    <t>ENB</t>
  </si>
  <si>
    <t>S&amp;P 500</t>
  </si>
  <si>
    <t>RM</t>
  </si>
  <si>
    <t>Beta</t>
  </si>
  <si>
    <t>% of monthly return is calculated as geomean &lt;1</t>
  </si>
  <si>
    <t>Annual compound return  (Rm)</t>
  </si>
  <si>
    <t xml:space="preserve">Rf </t>
  </si>
  <si>
    <t>CAPM</t>
  </si>
  <si>
    <t>Alpha (intercept)</t>
  </si>
  <si>
    <t>R-squared</t>
  </si>
  <si>
    <t>Correlation</t>
  </si>
  <si>
    <r>
      <t>Beta (β)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0.2216</t>
    </r>
  </si>
  <si>
    <r>
      <t>Alpha (intercept)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0.000855</t>
    </r>
  </si>
  <si>
    <r>
      <t>R²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0.0461</t>
    </r>
  </si>
  <si>
    <r>
      <t>Adjusted R²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0.0444</t>
    </r>
  </si>
  <si>
    <r>
      <t>Standard Error of Beta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0.0430</t>
    </r>
  </si>
  <si>
    <r>
      <t>t-statistic for Beta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5.1547</t>
    </r>
  </si>
  <si>
    <r>
      <t>p-value for Beta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3.55 × 10⁻⁷</t>
    </r>
  </si>
  <si>
    <r>
      <t>Observations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552</t>
    </r>
  </si>
  <si>
    <t>2. CAPM and Cost of Equity</t>
  </si>
  <si>
    <t>A. Define CAPM</t>
  </si>
  <si>
    <t>B. Beta Calculation</t>
  </si>
  <si>
    <t>C. Expected Return (CAPM Formula)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</si>
</sst>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0.00000"/>
    <numFmt numFmtId="166" formatCode="0.000%"/>
    <numFmt numFmtId="167" formatCode="0.0000%"/>
    <numFmt numFmtId="168" formatCode="0.000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3" fillId="0" borderId="0" xfId="0" applyFont="1"/>
    <xf numFmtId="165" fontId="0" fillId="0" borderId="0" xfId="0" applyNumberFormat="1"/>
    <xf numFmtId="167" fontId="0" fillId="0" borderId="0" xfId="1" applyNumberFormat="1" applyFont="1"/>
    <xf numFmtId="10" fontId="0" fillId="0" borderId="0" xfId="0" applyNumberFormat="1"/>
    <xf numFmtId="166" fontId="0" fillId="0" borderId="0" xfId="0" applyNumberFormat="1"/>
    <xf numFmtId="0" fontId="0" fillId="0" borderId="0" xfId="0" applyFont="1" applyAlignment="1">
      <alignment vertical="center"/>
    </xf>
    <xf numFmtId="168" fontId="0" fillId="0" borderId="0" xfId="0" applyNumberFormat="1"/>
    <xf numFmtId="168" fontId="4" fillId="0" borderId="0" xfId="0" applyNumberFormat="1" applyFont="1" applyAlignment="1">
      <alignment vertical="center"/>
    </xf>
    <xf numFmtId="0" fontId="5" fillId="0" borderId="0" xfId="0" applyFont="1"/>
    <xf numFmtId="0" fontId="6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4"/>
  <sheetViews>
    <sheetView tabSelected="1" topLeftCell="B1" workbookViewId="0">
      <selection activeCell="M5" sqref="M5"/>
    </sheetView>
  </sheetViews>
  <sheetFormatPr defaultRowHeight="15"/>
  <cols>
    <col min="1" max="1" width="18.28515625" bestFit="1" customWidth="1"/>
    <col min="2" max="2" width="12" bestFit="1" customWidth="1"/>
    <col min="5" max="5" width="12" bestFit="1" customWidth="1"/>
    <col min="10" max="10" width="44.5703125" bestFit="1" customWidth="1"/>
    <col min="11" max="11" width="19.42578125" bestFit="1" customWidth="1"/>
    <col min="13" max="13" width="28.28515625" bestFit="1" customWidth="1"/>
  </cols>
  <sheetData>
    <row r="1" spans="1:13">
      <c r="A1" s="1" t="s">
        <v>0</v>
      </c>
      <c r="B1" s="1" t="s">
        <v>1</v>
      </c>
      <c r="C1" s="4" t="s">
        <v>3</v>
      </c>
      <c r="E1" s="1" t="s">
        <v>2</v>
      </c>
      <c r="F1" s="3" t="s">
        <v>3</v>
      </c>
    </row>
    <row r="2" spans="1:13" ht="23.25">
      <c r="A2" s="2">
        <v>45293</v>
      </c>
      <c r="B2">
        <v>31.944402694702148</v>
      </c>
      <c r="E2">
        <v>4742.830078125</v>
      </c>
      <c r="J2" s="12" t="s">
        <v>20</v>
      </c>
    </row>
    <row r="3" spans="1:13">
      <c r="A3" s="2">
        <v>45294</v>
      </c>
      <c r="B3">
        <v>32.094009399414063</v>
      </c>
      <c r="C3">
        <f>B3/B2</f>
        <v>1.0046833464423088</v>
      </c>
      <c r="E3">
        <v>4704.81005859375</v>
      </c>
      <c r="F3">
        <f>E3/E2</f>
        <v>0.99198368507726919</v>
      </c>
    </row>
    <row r="4" spans="1:13" ht="18.75">
      <c r="A4" s="2">
        <v>45295</v>
      </c>
      <c r="B4">
        <v>32.120407104492188</v>
      </c>
      <c r="C4">
        <f t="shared" ref="C4:C67" si="0">B4/B3</f>
        <v>1.000822511913348</v>
      </c>
      <c r="E4">
        <v>4688.68017578125</v>
      </c>
      <c r="F4">
        <f t="shared" ref="F4:F67" si="1">E4/E3</f>
        <v>0.99657161870264299</v>
      </c>
      <c r="J4" s="13" t="s">
        <v>21</v>
      </c>
    </row>
    <row r="5" spans="1:13" ht="18.75">
      <c r="A5" s="2">
        <v>45296</v>
      </c>
      <c r="B5">
        <v>32.296413421630859</v>
      </c>
      <c r="C5">
        <f t="shared" si="0"/>
        <v>1.0054795792770028</v>
      </c>
      <c r="E5">
        <v>4697.240234375</v>
      </c>
      <c r="F5">
        <f t="shared" si="1"/>
        <v>1.0018256861788026</v>
      </c>
      <c r="J5" s="13" t="s">
        <v>22</v>
      </c>
    </row>
    <row r="6" spans="1:13" ht="18.75">
      <c r="A6" s="2">
        <v>45299</v>
      </c>
      <c r="B6">
        <v>32.745212554931641</v>
      </c>
      <c r="C6">
        <f t="shared" si="0"/>
        <v>1.0138962530433857</v>
      </c>
      <c r="E6">
        <v>4763.5400390625</v>
      </c>
      <c r="F6">
        <f t="shared" si="1"/>
        <v>1.0141146293098466</v>
      </c>
      <c r="J6" s="13" t="s">
        <v>23</v>
      </c>
    </row>
    <row r="7" spans="1:13">
      <c r="A7" s="2">
        <v>45300</v>
      </c>
      <c r="B7">
        <v>32.296413421630859</v>
      </c>
      <c r="C7">
        <f t="shared" si="0"/>
        <v>0.9862942061363047</v>
      </c>
      <c r="E7">
        <v>4756.5</v>
      </c>
      <c r="F7">
        <f t="shared" si="1"/>
        <v>0.99852209932009184</v>
      </c>
    </row>
    <row r="8" spans="1:13">
      <c r="A8" s="2">
        <v>45301</v>
      </c>
      <c r="B8">
        <v>32.472408294677727</v>
      </c>
      <c r="C8">
        <f t="shared" si="0"/>
        <v>1.0054493627744123</v>
      </c>
      <c r="E8">
        <v>4783.4501953125</v>
      </c>
      <c r="F8">
        <f t="shared" si="1"/>
        <v>1.0056659718937244</v>
      </c>
    </row>
    <row r="9" spans="1:13">
      <c r="A9" s="2">
        <v>45302</v>
      </c>
      <c r="B9">
        <v>32.226005554199219</v>
      </c>
      <c r="C9">
        <f t="shared" si="0"/>
        <v>0.99241193513451564</v>
      </c>
      <c r="E9">
        <v>4780.240234375</v>
      </c>
      <c r="F9">
        <f t="shared" si="1"/>
        <v>0.99932894442161313</v>
      </c>
      <c r="J9" t="s">
        <v>4</v>
      </c>
      <c r="K9">
        <f>SLOPE(C3:C554, F3:F554)</f>
        <v>0.22156385834311815</v>
      </c>
      <c r="M9" s="4" t="s">
        <v>12</v>
      </c>
    </row>
    <row r="10" spans="1:13">
      <c r="A10" s="2">
        <v>45303</v>
      </c>
      <c r="B10">
        <v>32.41961669921875</v>
      </c>
      <c r="C10">
        <f t="shared" si="0"/>
        <v>1.0060079163299933</v>
      </c>
      <c r="E10">
        <v>4783.830078125</v>
      </c>
      <c r="F10">
        <f t="shared" si="1"/>
        <v>1.0007509755941104</v>
      </c>
      <c r="J10" t="s">
        <v>5</v>
      </c>
      <c r="K10" s="6">
        <f>GEOMEAN(F3:F554)-1</f>
        <v>6.3040169261796564E-4</v>
      </c>
    </row>
    <row r="11" spans="1:13">
      <c r="A11" s="2">
        <v>45307</v>
      </c>
      <c r="B11">
        <v>32.243606567382813</v>
      </c>
      <c r="C11">
        <f t="shared" si="0"/>
        <v>0.99457087560692292</v>
      </c>
      <c r="E11">
        <v>4765.97998046875</v>
      </c>
      <c r="F11">
        <f t="shared" si="1"/>
        <v>0.99626865976325685</v>
      </c>
      <c r="J11" t="s">
        <v>6</v>
      </c>
      <c r="K11" s="5">
        <v>0.2145</v>
      </c>
      <c r="M11" s="4" t="s">
        <v>13</v>
      </c>
    </row>
    <row r="12" spans="1:13">
      <c r="A12" s="2">
        <v>45308</v>
      </c>
      <c r="B12">
        <v>31.759601593017582</v>
      </c>
      <c r="C12">
        <f t="shared" si="0"/>
        <v>0.98498911797122457</v>
      </c>
      <c r="E12">
        <v>4739.2099609375</v>
      </c>
      <c r="F12">
        <f t="shared" si="1"/>
        <v>0.9943831028160095</v>
      </c>
      <c r="J12" t="s">
        <v>7</v>
      </c>
      <c r="K12" s="7">
        <v>4.2299999999999997E-2</v>
      </c>
    </row>
    <row r="13" spans="1:13">
      <c r="A13" s="2">
        <v>45309</v>
      </c>
      <c r="B13">
        <v>31.495599746704102</v>
      </c>
      <c r="C13">
        <f t="shared" si="0"/>
        <v>0.99168749502287457</v>
      </c>
      <c r="E13">
        <v>4780.93994140625</v>
      </c>
      <c r="F13">
        <f t="shared" si="1"/>
        <v>1.008805260963896</v>
      </c>
      <c r="J13" t="s">
        <v>9</v>
      </c>
      <c r="K13" s="10">
        <f>INTERCEPT(C3:C554,F3:F554)</f>
        <v>0.77929079665180145</v>
      </c>
      <c r="M13" s="4" t="s">
        <v>14</v>
      </c>
    </row>
    <row r="14" spans="1:13">
      <c r="A14" s="2">
        <v>45310</v>
      </c>
      <c r="B14">
        <v>31.662797927856449</v>
      </c>
      <c r="C14">
        <f t="shared" si="0"/>
        <v>1.0053086203309987</v>
      </c>
      <c r="E14">
        <v>4839.81005859375</v>
      </c>
      <c r="F14">
        <f t="shared" si="1"/>
        <v>1.0123135027649361</v>
      </c>
      <c r="J14" s="9" t="s">
        <v>10</v>
      </c>
      <c r="K14" s="11">
        <f>RSQ(C3:C554,F3:F554)</f>
        <v>4.608479283594074E-2</v>
      </c>
    </row>
    <row r="15" spans="1:13">
      <c r="A15" s="2">
        <v>45313</v>
      </c>
      <c r="B15">
        <v>31.504400253295898</v>
      </c>
      <c r="C15">
        <f t="shared" si="0"/>
        <v>0.99499735699537806</v>
      </c>
      <c r="E15">
        <v>4850.43017578125</v>
      </c>
      <c r="F15">
        <f t="shared" si="1"/>
        <v>1.0021943252026271</v>
      </c>
      <c r="J15" s="9" t="s">
        <v>11</v>
      </c>
      <c r="K15" s="10">
        <f>CORREL(C3:C554,F3:F554)</f>
        <v>0.21467368920280092</v>
      </c>
      <c r="M15" s="4" t="s">
        <v>15</v>
      </c>
    </row>
    <row r="16" spans="1:13">
      <c r="A16" s="2">
        <v>45314</v>
      </c>
      <c r="B16">
        <v>31.53079986572266</v>
      </c>
      <c r="C16">
        <f t="shared" si="0"/>
        <v>1.0008379658782427</v>
      </c>
      <c r="E16">
        <v>4864.60009765625</v>
      </c>
      <c r="F16">
        <f t="shared" si="1"/>
        <v>1.002921374261968</v>
      </c>
    </row>
    <row r="17" spans="1:13">
      <c r="A17" s="2">
        <v>45315</v>
      </c>
      <c r="B17">
        <v>31.24039268493652</v>
      </c>
      <c r="C17">
        <f t="shared" si="0"/>
        <v>0.99078972997758163</v>
      </c>
      <c r="E17">
        <v>4868.5498046875</v>
      </c>
      <c r="F17">
        <f t="shared" si="1"/>
        <v>1.0008119284117831</v>
      </c>
      <c r="M17" s="4" t="s">
        <v>16</v>
      </c>
    </row>
    <row r="18" spans="1:13">
      <c r="A18" s="2">
        <v>45316</v>
      </c>
      <c r="B18">
        <v>31.407596588134769</v>
      </c>
      <c r="C18">
        <f t="shared" si="0"/>
        <v>1.0053521703419199</v>
      </c>
      <c r="E18">
        <v>4894.16015625</v>
      </c>
      <c r="F18">
        <f t="shared" si="1"/>
        <v>1.0052603655277064</v>
      </c>
    </row>
    <row r="19" spans="1:13">
      <c r="A19" s="2">
        <v>45317</v>
      </c>
      <c r="B19">
        <v>31.601200103759769</v>
      </c>
      <c r="C19">
        <f t="shared" si="0"/>
        <v>1.0061642257497072</v>
      </c>
      <c r="E19">
        <v>4890.97021484375</v>
      </c>
      <c r="F19">
        <f t="shared" si="1"/>
        <v>0.99934821474892355</v>
      </c>
      <c r="J19" t="s">
        <v>8</v>
      </c>
      <c r="K19" s="8">
        <f>K12+K9*(K11-K12)</f>
        <v>8.0453296406684943E-2</v>
      </c>
      <c r="M19" s="4" t="s">
        <v>17</v>
      </c>
    </row>
    <row r="20" spans="1:13">
      <c r="A20" s="2">
        <v>45320</v>
      </c>
      <c r="B20">
        <v>31.63640213012695</v>
      </c>
      <c r="C20">
        <f t="shared" si="0"/>
        <v>1.001113945870777</v>
      </c>
      <c r="E20">
        <v>4927.93017578125</v>
      </c>
      <c r="F20">
        <f t="shared" si="1"/>
        <v>1.0075567748961809</v>
      </c>
    </row>
    <row r="21" spans="1:13">
      <c r="A21" s="2">
        <v>45321</v>
      </c>
      <c r="B21">
        <v>31.662797927856449</v>
      </c>
      <c r="C21">
        <f t="shared" si="0"/>
        <v>1.0008343489130316</v>
      </c>
      <c r="E21">
        <v>4924.97021484375</v>
      </c>
      <c r="F21">
        <f t="shared" si="1"/>
        <v>0.9993993500654601</v>
      </c>
      <c r="M21" s="4" t="s">
        <v>18</v>
      </c>
    </row>
    <row r="22" spans="1:13">
      <c r="A22" s="2">
        <v>45322</v>
      </c>
      <c r="B22">
        <v>31.24039268493652</v>
      </c>
      <c r="C22">
        <f t="shared" si="0"/>
        <v>0.986659257217812</v>
      </c>
      <c r="E22">
        <v>4845.64990234375</v>
      </c>
      <c r="F22">
        <f t="shared" si="1"/>
        <v>0.98389425538840203</v>
      </c>
    </row>
    <row r="23" spans="1:13">
      <c r="A23" s="2">
        <v>45323</v>
      </c>
      <c r="B23">
        <v>31.557199478149411</v>
      </c>
      <c r="C23">
        <f t="shared" si="0"/>
        <v>1.0101409350518711</v>
      </c>
      <c r="E23">
        <v>4906.18994140625</v>
      </c>
      <c r="F23">
        <f t="shared" si="1"/>
        <v>1.0124936882116098</v>
      </c>
      <c r="M23" s="4" t="s">
        <v>19</v>
      </c>
    </row>
    <row r="24" spans="1:13">
      <c r="A24" s="2">
        <v>45324</v>
      </c>
      <c r="B24">
        <v>31.064393997192379</v>
      </c>
      <c r="C24">
        <f t="shared" si="0"/>
        <v>0.98438373844617433</v>
      </c>
      <c r="E24">
        <v>4958.60986328125</v>
      </c>
      <c r="F24">
        <f t="shared" si="1"/>
        <v>1.0106844460775146</v>
      </c>
    </row>
    <row r="25" spans="1:13">
      <c r="A25" s="2">
        <v>45327</v>
      </c>
      <c r="B25">
        <v>30.430788040161129</v>
      </c>
      <c r="C25">
        <f t="shared" si="0"/>
        <v>0.97960346636446483</v>
      </c>
      <c r="E25">
        <v>4942.81005859375</v>
      </c>
      <c r="F25">
        <f t="shared" si="1"/>
        <v>0.99681366247332781</v>
      </c>
    </row>
    <row r="26" spans="1:13">
      <c r="A26" s="2">
        <v>45328</v>
      </c>
      <c r="B26">
        <v>30.501188278198239</v>
      </c>
      <c r="C26">
        <f t="shared" si="0"/>
        <v>1.0023134543194938</v>
      </c>
      <c r="E26">
        <v>4954.22998046875</v>
      </c>
      <c r="F26">
        <f t="shared" si="1"/>
        <v>1.0023104108269636</v>
      </c>
    </row>
    <row r="27" spans="1:13">
      <c r="A27" s="2">
        <v>45329</v>
      </c>
      <c r="B27">
        <v>30.289979934692379</v>
      </c>
      <c r="C27">
        <f t="shared" si="0"/>
        <v>0.99307540606026723</v>
      </c>
      <c r="E27">
        <v>4995.06005859375</v>
      </c>
      <c r="F27">
        <f t="shared" si="1"/>
        <v>1.00824145796339</v>
      </c>
    </row>
    <row r="28" spans="1:13">
      <c r="A28" s="2">
        <v>45330</v>
      </c>
      <c r="B28">
        <v>30.22838020324707</v>
      </c>
      <c r="C28">
        <f t="shared" si="0"/>
        <v>0.99796633303890847</v>
      </c>
      <c r="E28">
        <v>4997.91015625</v>
      </c>
      <c r="F28">
        <f t="shared" si="1"/>
        <v>1.0005705832608252</v>
      </c>
    </row>
    <row r="29" spans="1:13">
      <c r="A29" s="2">
        <v>45331</v>
      </c>
      <c r="B29">
        <v>30.12277984619141</v>
      </c>
      <c r="C29">
        <f t="shared" si="0"/>
        <v>0.99650658234594003</v>
      </c>
      <c r="E29">
        <v>5026.60986328125</v>
      </c>
      <c r="F29">
        <f t="shared" si="1"/>
        <v>1.0057423415255595</v>
      </c>
    </row>
    <row r="30" spans="1:13">
      <c r="A30" s="2">
        <v>45334</v>
      </c>
      <c r="B30">
        <v>30.70359039306641</v>
      </c>
      <c r="C30">
        <f t="shared" si="0"/>
        <v>1.0192814391580276</v>
      </c>
      <c r="E30">
        <v>5021.83984375</v>
      </c>
      <c r="F30">
        <f t="shared" si="1"/>
        <v>0.99905104639886733</v>
      </c>
    </row>
    <row r="31" spans="1:13">
      <c r="A31" s="2">
        <v>45335</v>
      </c>
      <c r="B31">
        <v>30.087579727172852</v>
      </c>
      <c r="C31">
        <f t="shared" si="0"/>
        <v>0.97993685240040629</v>
      </c>
      <c r="E31">
        <v>4953.169921875</v>
      </c>
      <c r="F31">
        <f t="shared" si="1"/>
        <v>0.98632574434637454</v>
      </c>
    </row>
    <row r="32" spans="1:13">
      <c r="A32" s="2">
        <v>45336</v>
      </c>
      <c r="B32">
        <v>29.921503067016602</v>
      </c>
      <c r="C32">
        <f t="shared" si="0"/>
        <v>0.99448022534008407</v>
      </c>
      <c r="E32">
        <v>5000.6201171875</v>
      </c>
      <c r="F32">
        <f t="shared" si="1"/>
        <v>1.0095797632750176</v>
      </c>
    </row>
    <row r="33" spans="1:6">
      <c r="A33" s="2">
        <v>45337</v>
      </c>
      <c r="B33">
        <v>30.53195762634277</v>
      </c>
      <c r="C33">
        <f t="shared" si="0"/>
        <v>1.02040186811334</v>
      </c>
      <c r="E33">
        <v>5029.72998046875</v>
      </c>
      <c r="F33">
        <f t="shared" si="1"/>
        <v>1.0058212506847295</v>
      </c>
    </row>
    <row r="34" spans="1:6">
      <c r="A34" s="2">
        <v>45338</v>
      </c>
      <c r="B34">
        <v>30.900026321411129</v>
      </c>
      <c r="C34">
        <f t="shared" si="0"/>
        <v>1.012055194742927</v>
      </c>
      <c r="E34">
        <v>5005.56982421875</v>
      </c>
      <c r="F34">
        <f t="shared" si="1"/>
        <v>0.99519653016288789</v>
      </c>
    </row>
    <row r="35" spans="1:6">
      <c r="A35" s="2">
        <v>45342</v>
      </c>
      <c r="B35">
        <v>30.917987823486332</v>
      </c>
      <c r="C35">
        <f t="shared" si="0"/>
        <v>1.0005812778891634</v>
      </c>
      <c r="E35">
        <v>4975.509765625</v>
      </c>
      <c r="F35">
        <f t="shared" si="1"/>
        <v>0.99399467799883467</v>
      </c>
    </row>
    <row r="36" spans="1:6">
      <c r="A36" s="2">
        <v>45343</v>
      </c>
      <c r="B36">
        <v>31.24117279052734</v>
      </c>
      <c r="C36">
        <f t="shared" si="0"/>
        <v>1.0104529754292582</v>
      </c>
      <c r="E36">
        <v>4981.7998046875</v>
      </c>
      <c r="F36">
        <f t="shared" si="1"/>
        <v>1.0012641999229821</v>
      </c>
    </row>
    <row r="37" spans="1:6">
      <c r="A37" s="2">
        <v>45344</v>
      </c>
      <c r="B37">
        <v>31.33094596862793</v>
      </c>
      <c r="C37">
        <f t="shared" si="0"/>
        <v>1.0028735533938664</v>
      </c>
      <c r="E37">
        <v>5087.02978515625</v>
      </c>
      <c r="F37">
        <f t="shared" si="1"/>
        <v>1.021122884217414</v>
      </c>
    </row>
    <row r="38" spans="1:6">
      <c r="A38" s="2">
        <v>45345</v>
      </c>
      <c r="B38">
        <v>31.24117279052734</v>
      </c>
      <c r="C38">
        <f t="shared" si="0"/>
        <v>0.99713468025541008</v>
      </c>
      <c r="E38">
        <v>5088.7998046875</v>
      </c>
      <c r="F38">
        <f t="shared" si="1"/>
        <v>1.0003479475462116</v>
      </c>
    </row>
    <row r="39" spans="1:6">
      <c r="A39" s="2">
        <v>45348</v>
      </c>
      <c r="B39">
        <v>30.873100280761719</v>
      </c>
      <c r="C39">
        <f t="shared" si="0"/>
        <v>0.98821835171702566</v>
      </c>
      <c r="E39">
        <v>5069.52978515625</v>
      </c>
      <c r="F39">
        <f t="shared" si="1"/>
        <v>0.99621324864980942</v>
      </c>
    </row>
    <row r="40" spans="1:6">
      <c r="A40" s="2">
        <v>45349</v>
      </c>
      <c r="B40">
        <v>30.962875366210941</v>
      </c>
      <c r="C40">
        <f t="shared" si="0"/>
        <v>1.0029078739949278</v>
      </c>
      <c r="E40">
        <v>5078.18017578125</v>
      </c>
      <c r="F40">
        <f t="shared" si="1"/>
        <v>1.0017063496993999</v>
      </c>
    </row>
    <row r="41" spans="1:6">
      <c r="A41" s="2">
        <v>45350</v>
      </c>
      <c r="B41">
        <v>30.8641242980957</v>
      </c>
      <c r="C41">
        <f t="shared" si="0"/>
        <v>0.99681066222218473</v>
      </c>
      <c r="E41">
        <v>5069.759765625</v>
      </c>
      <c r="F41">
        <f t="shared" si="1"/>
        <v>0.99834184493956946</v>
      </c>
    </row>
    <row r="42" spans="1:6">
      <c r="A42" s="2">
        <v>45351</v>
      </c>
      <c r="B42">
        <v>30.900026321411129</v>
      </c>
      <c r="C42">
        <f t="shared" si="0"/>
        <v>1.0011632283154603</v>
      </c>
      <c r="E42">
        <v>5096.27001953125</v>
      </c>
      <c r="F42">
        <f t="shared" si="1"/>
        <v>1.0052290946971492</v>
      </c>
    </row>
    <row r="43" spans="1:6">
      <c r="A43" s="2">
        <v>45352</v>
      </c>
      <c r="B43">
        <v>31.24117279052734</v>
      </c>
      <c r="C43">
        <f t="shared" si="0"/>
        <v>1.0110403294019146</v>
      </c>
      <c r="E43">
        <v>5137.080078125</v>
      </c>
      <c r="F43">
        <f t="shared" si="1"/>
        <v>1.0080078289488876</v>
      </c>
    </row>
    <row r="44" spans="1:6">
      <c r="A44" s="2">
        <v>45355</v>
      </c>
      <c r="B44">
        <v>31.169351577758789</v>
      </c>
      <c r="C44">
        <f t="shared" si="0"/>
        <v>0.99770107181154455</v>
      </c>
      <c r="E44">
        <v>5130.9501953125</v>
      </c>
      <c r="F44">
        <f t="shared" si="1"/>
        <v>0.99880673792908103</v>
      </c>
    </row>
    <row r="45" spans="1:6">
      <c r="A45" s="2">
        <v>45356</v>
      </c>
      <c r="B45">
        <v>31.223213195800781</v>
      </c>
      <c r="C45">
        <f t="shared" si="0"/>
        <v>1.0017280313935188</v>
      </c>
      <c r="E45">
        <v>5078.64990234375</v>
      </c>
      <c r="F45">
        <f t="shared" si="1"/>
        <v>0.98980689911655539</v>
      </c>
    </row>
    <row r="46" spans="1:6">
      <c r="A46" s="2">
        <v>45357</v>
      </c>
      <c r="B46">
        <v>31.465604782104489</v>
      </c>
      <c r="C46">
        <f t="shared" si="0"/>
        <v>1.0077631851912123</v>
      </c>
      <c r="E46">
        <v>5104.759765625</v>
      </c>
      <c r="F46">
        <f t="shared" si="1"/>
        <v>1.0051411032032747</v>
      </c>
    </row>
    <row r="47" spans="1:6">
      <c r="A47" s="2">
        <v>45358</v>
      </c>
      <c r="B47">
        <v>32.049129486083977</v>
      </c>
      <c r="C47">
        <f t="shared" si="0"/>
        <v>1.0185448431079056</v>
      </c>
      <c r="E47">
        <v>5157.35986328125</v>
      </c>
      <c r="F47">
        <f t="shared" si="1"/>
        <v>1.0103041279259515</v>
      </c>
    </row>
    <row r="48" spans="1:6">
      <c r="A48" s="2">
        <v>45359</v>
      </c>
      <c r="B48">
        <v>32.174812316894531</v>
      </c>
      <c r="C48">
        <f t="shared" si="0"/>
        <v>1.0039215676939097</v>
      </c>
      <c r="E48">
        <v>5123.68994140625</v>
      </c>
      <c r="F48">
        <f t="shared" si="1"/>
        <v>0.99347148099656202</v>
      </c>
    </row>
    <row r="49" spans="1:6">
      <c r="A49" s="2">
        <v>45362</v>
      </c>
      <c r="B49">
        <v>32.336406707763672</v>
      </c>
      <c r="C49">
        <f t="shared" si="0"/>
        <v>1.0050223879871489</v>
      </c>
      <c r="E49">
        <v>5117.93994140625</v>
      </c>
      <c r="F49">
        <f t="shared" si="1"/>
        <v>0.99887776191265354</v>
      </c>
    </row>
    <row r="50" spans="1:6">
      <c r="A50" s="2">
        <v>45363</v>
      </c>
      <c r="B50">
        <v>32.399250030517578</v>
      </c>
      <c r="C50">
        <f t="shared" si="0"/>
        <v>1.0019434231923741</v>
      </c>
      <c r="E50">
        <v>5175.27001953125</v>
      </c>
      <c r="F50">
        <f t="shared" si="1"/>
        <v>1.0112017879813664</v>
      </c>
    </row>
    <row r="51" spans="1:6">
      <c r="A51" s="2">
        <v>45364</v>
      </c>
      <c r="B51">
        <v>32.444137573242188</v>
      </c>
      <c r="C51">
        <f t="shared" si="0"/>
        <v>1.0013854500546255</v>
      </c>
      <c r="E51">
        <v>5165.31005859375</v>
      </c>
      <c r="F51">
        <f t="shared" si="1"/>
        <v>0.99807547028465926</v>
      </c>
    </row>
    <row r="52" spans="1:6">
      <c r="A52" s="2">
        <v>45365</v>
      </c>
      <c r="B52">
        <v>32.022197723388672</v>
      </c>
      <c r="C52">
        <f t="shared" si="0"/>
        <v>0.98699488162072446</v>
      </c>
      <c r="E52">
        <v>5150.47998046875</v>
      </c>
      <c r="F52">
        <f t="shared" si="1"/>
        <v>0.99712890843787261</v>
      </c>
    </row>
    <row r="53" spans="1:6">
      <c r="A53" s="2">
        <v>45366</v>
      </c>
      <c r="B53">
        <v>31.887538909912109</v>
      </c>
      <c r="C53">
        <f t="shared" si="0"/>
        <v>0.99579482911698436</v>
      </c>
      <c r="E53">
        <v>5117.08984375</v>
      </c>
      <c r="F53">
        <f t="shared" si="1"/>
        <v>0.9935170825155385</v>
      </c>
    </row>
    <row r="54" spans="1:6">
      <c r="A54" s="2">
        <v>45369</v>
      </c>
      <c r="B54">
        <v>31.887538909912109</v>
      </c>
      <c r="C54">
        <f t="shared" si="0"/>
        <v>1</v>
      </c>
      <c r="E54">
        <v>5149.419921875</v>
      </c>
      <c r="F54">
        <f t="shared" si="1"/>
        <v>1.0063180595049523</v>
      </c>
    </row>
    <row r="55" spans="1:6">
      <c r="A55" s="2">
        <v>45370</v>
      </c>
      <c r="B55">
        <v>32.094013214111328</v>
      </c>
      <c r="C55">
        <f t="shared" si="0"/>
        <v>1.0064750780793257</v>
      </c>
      <c r="E55">
        <v>5178.509765625</v>
      </c>
      <c r="F55">
        <f t="shared" si="1"/>
        <v>1.0056491496501236</v>
      </c>
    </row>
    <row r="56" spans="1:6">
      <c r="A56" s="2">
        <v>45371</v>
      </c>
      <c r="B56">
        <v>32.399250030517578</v>
      </c>
      <c r="C56">
        <f t="shared" si="0"/>
        <v>1.0095107088780046</v>
      </c>
      <c r="E56">
        <v>5224.6201171875</v>
      </c>
      <c r="F56">
        <f t="shared" si="1"/>
        <v>1.0089041739128466</v>
      </c>
    </row>
    <row r="57" spans="1:6">
      <c r="A57" s="2">
        <v>45372</v>
      </c>
      <c r="B57">
        <v>32.129924774169922</v>
      </c>
      <c r="C57">
        <f t="shared" si="0"/>
        <v>0.99168729967224634</v>
      </c>
      <c r="E57">
        <v>5241.52978515625</v>
      </c>
      <c r="F57">
        <f t="shared" si="1"/>
        <v>1.003236535401516</v>
      </c>
    </row>
    <row r="58" spans="1:6">
      <c r="A58" s="2">
        <v>45373</v>
      </c>
      <c r="B58">
        <v>31.82469367980957</v>
      </c>
      <c r="C58">
        <f t="shared" si="0"/>
        <v>0.99050009931533567</v>
      </c>
      <c r="E58">
        <v>5234.18017578125</v>
      </c>
      <c r="F58">
        <f t="shared" si="1"/>
        <v>0.99859781215098431</v>
      </c>
    </row>
    <row r="59" spans="1:6">
      <c r="A59" s="2">
        <v>45376</v>
      </c>
      <c r="B59">
        <v>32.264583587646477</v>
      </c>
      <c r="C59">
        <f t="shared" si="0"/>
        <v>1.0138222825414336</v>
      </c>
      <c r="E59">
        <v>5218.18994140625</v>
      </c>
      <c r="F59">
        <f t="shared" si="1"/>
        <v>0.99694503554749847</v>
      </c>
    </row>
    <row r="60" spans="1:6">
      <c r="A60" s="2">
        <v>45377</v>
      </c>
      <c r="B60">
        <v>32.004241943359382</v>
      </c>
      <c r="C60">
        <f t="shared" si="0"/>
        <v>0.9919310396931087</v>
      </c>
      <c r="E60">
        <v>5203.580078125</v>
      </c>
      <c r="F60">
        <f t="shared" si="1"/>
        <v>0.99720020477496973</v>
      </c>
    </row>
    <row r="61" spans="1:6">
      <c r="A61" s="2">
        <v>45378</v>
      </c>
      <c r="B61">
        <v>32.309474945068359</v>
      </c>
      <c r="C61">
        <f t="shared" si="0"/>
        <v>1.0095372670363252</v>
      </c>
      <c r="E61">
        <v>5248.490234375</v>
      </c>
      <c r="F61">
        <f t="shared" si="1"/>
        <v>1.0086306265255329</v>
      </c>
    </row>
    <row r="62" spans="1:6">
      <c r="A62" s="2">
        <v>45379</v>
      </c>
      <c r="B62">
        <v>32.480037689208977</v>
      </c>
      <c r="C62">
        <f t="shared" si="0"/>
        <v>1.0052790317524689</v>
      </c>
      <c r="E62">
        <v>5254.35009765625</v>
      </c>
      <c r="F62">
        <f t="shared" si="1"/>
        <v>1.001116485507179</v>
      </c>
    </row>
    <row r="63" spans="1:6">
      <c r="A63" s="2">
        <v>45383</v>
      </c>
      <c r="B63">
        <v>32.165836334228523</v>
      </c>
      <c r="C63">
        <f t="shared" si="0"/>
        <v>0.99032632418758415</v>
      </c>
      <c r="E63">
        <v>5243.77001953125</v>
      </c>
      <c r="F63">
        <f t="shared" si="1"/>
        <v>0.99798641545988354</v>
      </c>
    </row>
    <row r="64" spans="1:6">
      <c r="A64" s="2">
        <v>45384</v>
      </c>
      <c r="B64">
        <v>32.183795928955078</v>
      </c>
      <c r="C64">
        <f t="shared" si="0"/>
        <v>1.0005583437825132</v>
      </c>
      <c r="E64">
        <v>5205.81005859375</v>
      </c>
      <c r="F64">
        <f t="shared" si="1"/>
        <v>0.99276094092683087</v>
      </c>
    </row>
    <row r="65" spans="1:6">
      <c r="A65" s="2">
        <v>45385</v>
      </c>
      <c r="B65">
        <v>32.129924774169922</v>
      </c>
      <c r="C65">
        <f t="shared" si="0"/>
        <v>0.99832614043091517</v>
      </c>
      <c r="E65">
        <v>5211.490234375</v>
      </c>
      <c r="F65">
        <f t="shared" si="1"/>
        <v>1.0010911223646881</v>
      </c>
    </row>
    <row r="66" spans="1:6">
      <c r="A66" s="2">
        <v>45386</v>
      </c>
      <c r="B66">
        <v>31.995267868041989</v>
      </c>
      <c r="C66">
        <f t="shared" si="0"/>
        <v>0.99580898781822891</v>
      </c>
      <c r="E66">
        <v>5147.2099609375</v>
      </c>
      <c r="F66">
        <f t="shared" si="1"/>
        <v>0.98766566364962038</v>
      </c>
    </row>
    <row r="67" spans="1:6">
      <c r="A67" s="2">
        <v>45387</v>
      </c>
      <c r="B67">
        <v>31.734918594360352</v>
      </c>
      <c r="C67">
        <f t="shared" si="0"/>
        <v>0.99186288188755301</v>
      </c>
      <c r="E67">
        <v>5204.33984375</v>
      </c>
      <c r="F67">
        <f t="shared" si="1"/>
        <v>1.0110991941743317</v>
      </c>
    </row>
    <row r="68" spans="1:6">
      <c r="A68" s="2">
        <v>45390</v>
      </c>
      <c r="B68">
        <v>31.636173248291019</v>
      </c>
      <c r="C68">
        <f t="shared" ref="C68:C131" si="2">B68/B67</f>
        <v>0.99688843235013436</v>
      </c>
      <c r="E68">
        <v>5202.39013671875</v>
      </c>
      <c r="F68">
        <f t="shared" ref="F68:F131" si="3">E68/E67</f>
        <v>0.99962536900168208</v>
      </c>
    </row>
    <row r="69" spans="1:6">
      <c r="A69" s="2">
        <v>45391</v>
      </c>
      <c r="B69">
        <v>31.707988739013668</v>
      </c>
      <c r="C69">
        <f t="shared" si="2"/>
        <v>1.0022700435403176</v>
      </c>
      <c r="E69">
        <v>5209.91015625</v>
      </c>
      <c r="F69">
        <f t="shared" si="3"/>
        <v>1.0014454931932484</v>
      </c>
    </row>
    <row r="70" spans="1:6">
      <c r="A70" s="2">
        <v>45392</v>
      </c>
      <c r="B70">
        <v>31.007757186889648</v>
      </c>
      <c r="C70">
        <f t="shared" si="2"/>
        <v>0.97791624193235405</v>
      </c>
      <c r="E70">
        <v>5160.64013671875</v>
      </c>
      <c r="F70">
        <f t="shared" si="3"/>
        <v>0.99054301935089151</v>
      </c>
    </row>
    <row r="71" spans="1:6">
      <c r="A71" s="2">
        <v>45393</v>
      </c>
      <c r="B71">
        <v>31.01673698425293</v>
      </c>
      <c r="C71">
        <f t="shared" si="2"/>
        <v>1.0002895984159434</v>
      </c>
      <c r="E71">
        <v>5199.06005859375</v>
      </c>
      <c r="F71">
        <f t="shared" si="3"/>
        <v>1.0074447977105856</v>
      </c>
    </row>
    <row r="72" spans="1:6">
      <c r="A72" s="2">
        <v>45394</v>
      </c>
      <c r="B72">
        <v>30.684574127197269</v>
      </c>
      <c r="C72">
        <f t="shared" si="2"/>
        <v>0.98929085102587355</v>
      </c>
      <c r="E72">
        <v>5123.41015625</v>
      </c>
      <c r="F72">
        <f t="shared" si="3"/>
        <v>0.98544931170419836</v>
      </c>
    </row>
    <row r="73" spans="1:6">
      <c r="A73" s="2">
        <v>45397</v>
      </c>
      <c r="B73">
        <v>30.298549652099609</v>
      </c>
      <c r="C73">
        <f t="shared" si="2"/>
        <v>0.98741959156749359</v>
      </c>
      <c r="E73">
        <v>5061.81982421875</v>
      </c>
      <c r="F73">
        <f t="shared" si="3"/>
        <v>0.98797864505223798</v>
      </c>
    </row>
    <row r="74" spans="1:6">
      <c r="A74" s="2">
        <v>45398</v>
      </c>
      <c r="B74">
        <v>29.59831428527832</v>
      </c>
      <c r="C74">
        <f t="shared" si="2"/>
        <v>0.97688881564095709</v>
      </c>
      <c r="E74">
        <v>5051.41015625</v>
      </c>
      <c r="F74">
        <f t="shared" si="3"/>
        <v>0.99794349298666385</v>
      </c>
    </row>
    <row r="75" spans="1:6">
      <c r="A75" s="2">
        <v>45399</v>
      </c>
      <c r="B75">
        <v>29.921503067016602</v>
      </c>
      <c r="C75">
        <f t="shared" si="2"/>
        <v>1.0109191617679061</v>
      </c>
      <c r="E75">
        <v>5022.2099609375</v>
      </c>
      <c r="F75">
        <f t="shared" si="3"/>
        <v>0.99421939727535857</v>
      </c>
    </row>
    <row r="76" spans="1:6">
      <c r="A76" s="2">
        <v>45400</v>
      </c>
      <c r="B76">
        <v>30.433210372924801</v>
      </c>
      <c r="C76">
        <f t="shared" si="2"/>
        <v>1.0171016577864456</v>
      </c>
      <c r="E76">
        <v>5011.1201171875</v>
      </c>
      <c r="F76">
        <f t="shared" si="3"/>
        <v>0.99779183988000175</v>
      </c>
    </row>
    <row r="77" spans="1:6">
      <c r="A77" s="2">
        <v>45401</v>
      </c>
      <c r="B77">
        <v>31.295034408569339</v>
      </c>
      <c r="C77">
        <f t="shared" si="2"/>
        <v>1.0283185383692306</v>
      </c>
      <c r="E77">
        <v>4967.22998046875</v>
      </c>
      <c r="F77">
        <f t="shared" si="3"/>
        <v>0.99124145187256385</v>
      </c>
    </row>
    <row r="78" spans="1:6">
      <c r="A78" s="2">
        <v>45404</v>
      </c>
      <c r="B78">
        <v>31.734918594360352</v>
      </c>
      <c r="C78">
        <f t="shared" si="2"/>
        <v>1.0140560377741767</v>
      </c>
      <c r="E78">
        <v>5010.60009765625</v>
      </c>
      <c r="F78">
        <f t="shared" si="3"/>
        <v>1.0087312480714667</v>
      </c>
    </row>
    <row r="79" spans="1:6">
      <c r="A79" s="2">
        <v>45405</v>
      </c>
      <c r="B79">
        <v>31.797763824462891</v>
      </c>
      <c r="C79">
        <f t="shared" si="2"/>
        <v>1.0019803179868156</v>
      </c>
      <c r="E79">
        <v>5070.5498046875</v>
      </c>
      <c r="F79">
        <f t="shared" si="3"/>
        <v>1.0119645762708727</v>
      </c>
    </row>
    <row r="80" spans="1:6">
      <c r="A80" s="2">
        <v>45406</v>
      </c>
      <c r="B80">
        <v>32.013217926025391</v>
      </c>
      <c r="C80">
        <f t="shared" si="2"/>
        <v>1.0067757626841904</v>
      </c>
      <c r="E80">
        <v>5071.6298828125</v>
      </c>
      <c r="F80">
        <f t="shared" si="3"/>
        <v>1.0002130100613549</v>
      </c>
    </row>
    <row r="81" spans="1:6">
      <c r="A81" s="2">
        <v>45407</v>
      </c>
      <c r="B81">
        <v>32.551864624023438</v>
      </c>
      <c r="C81">
        <f t="shared" si="2"/>
        <v>1.0168257592611503</v>
      </c>
      <c r="E81">
        <v>5048.419921875</v>
      </c>
      <c r="F81">
        <f t="shared" si="3"/>
        <v>0.99542356964648437</v>
      </c>
    </row>
    <row r="82" spans="1:6">
      <c r="A82" s="2">
        <v>45408</v>
      </c>
      <c r="B82">
        <v>32.156856536865227</v>
      </c>
      <c r="C82">
        <f t="shared" si="2"/>
        <v>0.98786527003228286</v>
      </c>
      <c r="E82">
        <v>5099.9599609375</v>
      </c>
      <c r="F82">
        <f t="shared" si="3"/>
        <v>1.010209142634743</v>
      </c>
    </row>
    <row r="83" spans="1:6">
      <c r="A83" s="2">
        <v>45411</v>
      </c>
      <c r="B83">
        <v>32.282539367675781</v>
      </c>
      <c r="C83">
        <f t="shared" si="2"/>
        <v>1.0039084302492836</v>
      </c>
      <c r="E83">
        <v>5116.169921875</v>
      </c>
      <c r="F83">
        <f t="shared" si="3"/>
        <v>1.0031784486665891</v>
      </c>
    </row>
    <row r="84" spans="1:6">
      <c r="A84" s="2">
        <v>45412</v>
      </c>
      <c r="B84">
        <v>31.90549278259277</v>
      </c>
      <c r="C84">
        <f t="shared" si="2"/>
        <v>0.98832041739998477</v>
      </c>
      <c r="E84">
        <v>5035.68994140625</v>
      </c>
      <c r="F84">
        <f t="shared" si="3"/>
        <v>0.98426948641313783</v>
      </c>
    </row>
    <row r="85" spans="1:6">
      <c r="A85" s="2">
        <v>45413</v>
      </c>
      <c r="B85">
        <v>31.950380325317379</v>
      </c>
      <c r="C85">
        <f t="shared" si="2"/>
        <v>1.0014068907517109</v>
      </c>
      <c r="E85">
        <v>5018.39013671875</v>
      </c>
      <c r="F85">
        <f t="shared" si="3"/>
        <v>0.99656456118450598</v>
      </c>
    </row>
    <row r="86" spans="1:6">
      <c r="A86" s="2">
        <v>45414</v>
      </c>
      <c r="B86">
        <v>32.695499420166023</v>
      </c>
      <c r="C86">
        <f t="shared" si="2"/>
        <v>1.0233211338100479</v>
      </c>
      <c r="E86">
        <v>5064.2001953125</v>
      </c>
      <c r="F86">
        <f t="shared" si="3"/>
        <v>1.009128437077573</v>
      </c>
    </row>
    <row r="87" spans="1:6">
      <c r="A87" s="2">
        <v>45415</v>
      </c>
      <c r="B87">
        <v>32.623680114746087</v>
      </c>
      <c r="C87">
        <f t="shared" si="2"/>
        <v>0.99780338864083418</v>
      </c>
      <c r="E87">
        <v>5127.7900390625</v>
      </c>
      <c r="F87">
        <f t="shared" si="3"/>
        <v>1.0125567397214785</v>
      </c>
    </row>
    <row r="88" spans="1:6">
      <c r="A88" s="2">
        <v>45418</v>
      </c>
      <c r="B88">
        <v>32.919933319091797</v>
      </c>
      <c r="C88">
        <f t="shared" si="2"/>
        <v>1.0090809253678221</v>
      </c>
      <c r="E88">
        <v>5180.740234375</v>
      </c>
      <c r="F88">
        <f t="shared" si="3"/>
        <v>1.0103261239070118</v>
      </c>
    </row>
    <row r="89" spans="1:6">
      <c r="A89" s="2">
        <v>45419</v>
      </c>
      <c r="B89">
        <v>33.063571929931641</v>
      </c>
      <c r="C89">
        <f t="shared" si="2"/>
        <v>1.0043632716217119</v>
      </c>
      <c r="E89">
        <v>5187.7001953125</v>
      </c>
      <c r="F89">
        <f t="shared" si="3"/>
        <v>1.0013434298232751</v>
      </c>
    </row>
    <row r="90" spans="1:6">
      <c r="A90" s="2">
        <v>45420</v>
      </c>
      <c r="B90">
        <v>33.422664642333977</v>
      </c>
      <c r="C90">
        <f t="shared" si="2"/>
        <v>1.0108606751007825</v>
      </c>
      <c r="E90">
        <v>5187.669921875</v>
      </c>
      <c r="F90">
        <f t="shared" si="3"/>
        <v>0.99999416438183386</v>
      </c>
    </row>
    <row r="91" spans="1:6">
      <c r="A91" s="2">
        <v>45421</v>
      </c>
      <c r="B91">
        <v>33.53936767578125</v>
      </c>
      <c r="C91">
        <f t="shared" si="2"/>
        <v>1.0034917333700393</v>
      </c>
      <c r="E91">
        <v>5214.080078125</v>
      </c>
      <c r="F91">
        <f t="shared" si="3"/>
        <v>1.0050909476986258</v>
      </c>
    </row>
    <row r="92" spans="1:6">
      <c r="A92" s="2">
        <v>45422</v>
      </c>
      <c r="B92">
        <v>33.934368133544922</v>
      </c>
      <c r="C92">
        <f t="shared" si="2"/>
        <v>1.0117772183895077</v>
      </c>
      <c r="E92">
        <v>5222.68017578125</v>
      </c>
      <c r="F92">
        <f t="shared" si="3"/>
        <v>1.0016493988445498</v>
      </c>
    </row>
    <row r="93" spans="1:6">
      <c r="A93" s="2">
        <v>45425</v>
      </c>
      <c r="B93">
        <v>33.961307525634773</v>
      </c>
      <c r="C93">
        <f t="shared" si="2"/>
        <v>1.000793867502817</v>
      </c>
      <c r="E93">
        <v>5221.419921875</v>
      </c>
      <c r="F93">
        <f t="shared" si="3"/>
        <v>0.99975869594464273</v>
      </c>
    </row>
    <row r="94" spans="1:6">
      <c r="A94" s="2">
        <v>45426</v>
      </c>
      <c r="B94">
        <v>33.805938720703118</v>
      </c>
      <c r="C94">
        <f t="shared" si="2"/>
        <v>0.99542512299285357</v>
      </c>
      <c r="E94">
        <v>5246.68017578125</v>
      </c>
      <c r="F94">
        <f t="shared" si="3"/>
        <v>1.0048378131397597</v>
      </c>
    </row>
    <row r="95" spans="1:6">
      <c r="A95" s="2">
        <v>45427</v>
      </c>
      <c r="B95">
        <v>33.805938720703118</v>
      </c>
      <c r="C95">
        <f t="shared" si="2"/>
        <v>1</v>
      </c>
      <c r="E95">
        <v>5308.14990234375</v>
      </c>
      <c r="F95">
        <f t="shared" si="3"/>
        <v>1.0117159278825962</v>
      </c>
    </row>
    <row r="96" spans="1:6">
      <c r="A96" s="2">
        <v>45428</v>
      </c>
      <c r="B96">
        <v>33.595733642578118</v>
      </c>
      <c r="C96">
        <f t="shared" si="2"/>
        <v>0.99378200736084665</v>
      </c>
      <c r="E96">
        <v>5297.10009765625</v>
      </c>
      <c r="F96">
        <f t="shared" si="3"/>
        <v>0.99791833220787129</v>
      </c>
    </row>
    <row r="97" spans="1:6">
      <c r="A97" s="2">
        <v>45429</v>
      </c>
      <c r="B97">
        <v>33.586597442626953</v>
      </c>
      <c r="C97">
        <f t="shared" si="2"/>
        <v>0.99972805475694138</v>
      </c>
      <c r="E97">
        <v>5303.27001953125</v>
      </c>
      <c r="F97">
        <f t="shared" si="3"/>
        <v>1.0011647735102702</v>
      </c>
    </row>
    <row r="98" spans="1:6">
      <c r="A98" s="2">
        <v>45432</v>
      </c>
      <c r="B98">
        <v>33.614013671875</v>
      </c>
      <c r="C98">
        <f t="shared" si="2"/>
        <v>1.0008162848080959</v>
      </c>
      <c r="E98">
        <v>5308.1298828125</v>
      </c>
      <c r="F98">
        <f t="shared" si="3"/>
        <v>1.0009163899374069</v>
      </c>
    </row>
    <row r="99" spans="1:6">
      <c r="A99" s="2">
        <v>45433</v>
      </c>
      <c r="B99">
        <v>33.614013671875</v>
      </c>
      <c r="C99">
        <f t="shared" si="2"/>
        <v>1</v>
      </c>
      <c r="E99">
        <v>5321.41015625</v>
      </c>
      <c r="F99">
        <f t="shared" si="3"/>
        <v>1.0025018742439782</v>
      </c>
    </row>
    <row r="100" spans="1:6">
      <c r="A100" s="2">
        <v>45434</v>
      </c>
      <c r="B100">
        <v>33.458648681640618</v>
      </c>
      <c r="C100">
        <f t="shared" si="2"/>
        <v>0.99537796968398407</v>
      </c>
      <c r="E100">
        <v>5307.009765625</v>
      </c>
      <c r="F100">
        <f t="shared" si="3"/>
        <v>0.99729387696077387</v>
      </c>
    </row>
    <row r="101" spans="1:6">
      <c r="A101" s="2">
        <v>45435</v>
      </c>
      <c r="B101">
        <v>32.873744964599609</v>
      </c>
      <c r="C101">
        <f t="shared" si="2"/>
        <v>0.98251860908650634</v>
      </c>
      <c r="E101">
        <v>5267.83984375</v>
      </c>
      <c r="F101">
        <f t="shared" si="3"/>
        <v>0.99261921051498447</v>
      </c>
    </row>
    <row r="102" spans="1:6">
      <c r="A102" s="2">
        <v>45436</v>
      </c>
      <c r="B102">
        <v>33.120498657226563</v>
      </c>
      <c r="C102">
        <f t="shared" si="2"/>
        <v>1.0075061022981311</v>
      </c>
      <c r="E102">
        <v>5304.72021484375</v>
      </c>
      <c r="F102">
        <f t="shared" si="3"/>
        <v>1.0070010425881695</v>
      </c>
    </row>
    <row r="103" spans="1:6">
      <c r="A103" s="2">
        <v>45440</v>
      </c>
      <c r="B103">
        <v>33.001689910888672</v>
      </c>
      <c r="C103">
        <f t="shared" si="2"/>
        <v>0.99641283340666231</v>
      </c>
      <c r="E103">
        <v>5306.0400390625</v>
      </c>
      <c r="F103">
        <f t="shared" si="3"/>
        <v>1.0002488018529341</v>
      </c>
    </row>
    <row r="104" spans="1:6">
      <c r="A104" s="2">
        <v>45441</v>
      </c>
      <c r="B104">
        <v>32.608707427978523</v>
      </c>
      <c r="C104">
        <f t="shared" si="2"/>
        <v>0.98809204971105169</v>
      </c>
      <c r="E104">
        <v>5266.9501953125</v>
      </c>
      <c r="F104">
        <f t="shared" si="3"/>
        <v>0.99263295349031955</v>
      </c>
    </row>
    <row r="105" spans="1:6">
      <c r="A105" s="2">
        <v>45442</v>
      </c>
      <c r="B105">
        <v>32.681812286376953</v>
      </c>
      <c r="C105">
        <f t="shared" si="2"/>
        <v>1.0022418815146199</v>
      </c>
      <c r="E105">
        <v>5235.47998046875</v>
      </c>
      <c r="F105">
        <f t="shared" si="3"/>
        <v>0.99402496441455668</v>
      </c>
    </row>
    <row r="106" spans="1:6">
      <c r="A106" s="2">
        <v>45443</v>
      </c>
      <c r="B106">
        <v>33.431232452392578</v>
      </c>
      <c r="C106">
        <f t="shared" si="2"/>
        <v>1.0229308019839527</v>
      </c>
      <c r="E106">
        <v>5277.509765625</v>
      </c>
      <c r="F106">
        <f t="shared" si="3"/>
        <v>1.0080278762048647</v>
      </c>
    </row>
    <row r="107" spans="1:6">
      <c r="A107" s="2">
        <v>45446</v>
      </c>
      <c r="B107">
        <v>33.294143676757813</v>
      </c>
      <c r="C107">
        <f t="shared" si="2"/>
        <v>0.99589938014310464</v>
      </c>
      <c r="E107">
        <v>5283.39990234375</v>
      </c>
      <c r="F107">
        <f t="shared" si="3"/>
        <v>1.0011160825806737</v>
      </c>
    </row>
    <row r="108" spans="1:6">
      <c r="A108" s="2">
        <v>45447</v>
      </c>
      <c r="B108">
        <v>32.928569793701172</v>
      </c>
      <c r="C108">
        <f t="shared" si="2"/>
        <v>0.98901987428762606</v>
      </c>
      <c r="E108">
        <v>5291.33984375</v>
      </c>
      <c r="F108">
        <f t="shared" si="3"/>
        <v>1.0015028090913065</v>
      </c>
    </row>
    <row r="109" spans="1:6">
      <c r="A109" s="2">
        <v>45448</v>
      </c>
      <c r="B109">
        <v>33.157051086425781</v>
      </c>
      <c r="C109">
        <f t="shared" si="2"/>
        <v>1.006938694700561</v>
      </c>
      <c r="E109">
        <v>5354.02978515625</v>
      </c>
      <c r="F109">
        <f t="shared" si="3"/>
        <v>1.0118476497933313</v>
      </c>
    </row>
    <row r="110" spans="1:6">
      <c r="A110" s="2">
        <v>45449</v>
      </c>
      <c r="B110">
        <v>33.074802398681641</v>
      </c>
      <c r="C110">
        <f t="shared" si="2"/>
        <v>0.997519420905986</v>
      </c>
      <c r="E110">
        <v>5352.9599609375</v>
      </c>
      <c r="F110">
        <f t="shared" si="3"/>
        <v>0.99980018336436682</v>
      </c>
    </row>
    <row r="111" spans="1:6">
      <c r="A111" s="2">
        <v>45450</v>
      </c>
      <c r="B111">
        <v>32.681812286376953</v>
      </c>
      <c r="C111">
        <f t="shared" si="2"/>
        <v>0.98811814179363466</v>
      </c>
      <c r="E111">
        <v>5346.990234375</v>
      </c>
      <c r="F111">
        <f t="shared" si="3"/>
        <v>0.99888478026996963</v>
      </c>
    </row>
    <row r="112" spans="1:6">
      <c r="A112" s="2">
        <v>45453</v>
      </c>
      <c r="B112">
        <v>32.599559783935547</v>
      </c>
      <c r="C112">
        <f t="shared" si="2"/>
        <v>0.99748323312915876</v>
      </c>
      <c r="E112">
        <v>5360.7900390625</v>
      </c>
      <c r="F112">
        <f t="shared" si="3"/>
        <v>1.0025808546645145</v>
      </c>
    </row>
    <row r="113" spans="1:6">
      <c r="A113" s="2">
        <v>45454</v>
      </c>
      <c r="B113">
        <v>32.416782379150391</v>
      </c>
      <c r="C113">
        <f t="shared" si="2"/>
        <v>0.99439325543054646</v>
      </c>
      <c r="E113">
        <v>5375.31982421875</v>
      </c>
      <c r="F113">
        <f t="shared" si="3"/>
        <v>1.0027103813151375</v>
      </c>
    </row>
    <row r="114" spans="1:6">
      <c r="A114" s="2">
        <v>45455</v>
      </c>
      <c r="B114">
        <v>32.581279754638672</v>
      </c>
      <c r="C114">
        <f t="shared" si="2"/>
        <v>1.0050744510532941</v>
      </c>
      <c r="E114">
        <v>5421.02978515625</v>
      </c>
      <c r="F114">
        <f t="shared" si="3"/>
        <v>1.0085036727919987</v>
      </c>
    </row>
    <row r="115" spans="1:6">
      <c r="A115" s="2">
        <v>45456</v>
      </c>
      <c r="B115">
        <v>32.325389862060547</v>
      </c>
      <c r="C115">
        <f t="shared" si="2"/>
        <v>0.99214610676728576</v>
      </c>
      <c r="E115">
        <v>5433.740234375</v>
      </c>
      <c r="F115">
        <f t="shared" si="3"/>
        <v>1.0023446558536817</v>
      </c>
    </row>
    <row r="116" spans="1:6">
      <c r="A116" s="2">
        <v>45457</v>
      </c>
      <c r="B116">
        <v>32.096904754638672</v>
      </c>
      <c r="C116">
        <f t="shared" si="2"/>
        <v>0.99293171378916478</v>
      </c>
      <c r="E116">
        <v>5431.60009765625</v>
      </c>
      <c r="F116">
        <f t="shared" si="3"/>
        <v>0.99960613930249909</v>
      </c>
    </row>
    <row r="117" spans="1:6">
      <c r="A117" s="2">
        <v>45460</v>
      </c>
      <c r="B117">
        <v>31.85014533996582</v>
      </c>
      <c r="C117">
        <f t="shared" si="2"/>
        <v>0.99231204950884899</v>
      </c>
      <c r="E117">
        <v>5473.22998046875</v>
      </c>
      <c r="F117">
        <f t="shared" si="3"/>
        <v>1.0076643865645527</v>
      </c>
    </row>
    <row r="118" spans="1:6">
      <c r="A118" s="2">
        <v>45461</v>
      </c>
      <c r="B118">
        <v>31.804450988769531</v>
      </c>
      <c r="C118">
        <f t="shared" si="2"/>
        <v>0.99856533303981654</v>
      </c>
      <c r="E118">
        <v>5487.02978515625</v>
      </c>
      <c r="F118">
        <f t="shared" si="3"/>
        <v>1.0025213273947458</v>
      </c>
    </row>
    <row r="119" spans="1:6">
      <c r="A119" s="2">
        <v>45463</v>
      </c>
      <c r="B119">
        <v>31.758756637573239</v>
      </c>
      <c r="C119">
        <f t="shared" si="2"/>
        <v>0.99856327181335636</v>
      </c>
      <c r="E119">
        <v>5473.169921875</v>
      </c>
      <c r="F119">
        <f t="shared" si="3"/>
        <v>0.9974740681527291</v>
      </c>
    </row>
    <row r="120" spans="1:6">
      <c r="A120" s="2">
        <v>45464</v>
      </c>
      <c r="B120">
        <v>31.71306037902832</v>
      </c>
      <c r="C120">
        <f t="shared" si="2"/>
        <v>0.99856114459812151</v>
      </c>
      <c r="E120">
        <v>5464.6201171875</v>
      </c>
      <c r="F120">
        <f t="shared" si="3"/>
        <v>0.9984378696788988</v>
      </c>
    </row>
    <row r="121" spans="1:6">
      <c r="A121" s="2">
        <v>45467</v>
      </c>
      <c r="B121">
        <v>32.096904754638672</v>
      </c>
      <c r="C121">
        <f t="shared" si="2"/>
        <v>1.0121036686785418</v>
      </c>
      <c r="E121">
        <v>5447.8701171875</v>
      </c>
      <c r="F121">
        <f t="shared" si="3"/>
        <v>0.99693482810501</v>
      </c>
    </row>
    <row r="122" spans="1:6">
      <c r="A122" s="2">
        <v>45468</v>
      </c>
      <c r="B122">
        <v>31.987237930297852</v>
      </c>
      <c r="C122">
        <f t="shared" si="2"/>
        <v>0.99658325856716845</v>
      </c>
      <c r="E122">
        <v>5469.2998046875</v>
      </c>
      <c r="F122">
        <f t="shared" si="3"/>
        <v>1.0039335900157369</v>
      </c>
    </row>
    <row r="123" spans="1:6">
      <c r="A123" s="2">
        <v>45469</v>
      </c>
      <c r="B123">
        <v>32.297962188720703</v>
      </c>
      <c r="C123">
        <f t="shared" si="2"/>
        <v>1.0097140071643553</v>
      </c>
      <c r="E123">
        <v>5477.89990234375</v>
      </c>
      <c r="F123">
        <f t="shared" si="3"/>
        <v>1.0015724312002203</v>
      </c>
    </row>
    <row r="124" spans="1:6">
      <c r="A124" s="2">
        <v>45470</v>
      </c>
      <c r="B124">
        <v>32.224849700927727</v>
      </c>
      <c r="C124">
        <f t="shared" si="2"/>
        <v>0.997736312669952</v>
      </c>
      <c r="E124">
        <v>5482.8701171875</v>
      </c>
      <c r="F124">
        <f t="shared" si="3"/>
        <v>1.0009073212238915</v>
      </c>
    </row>
    <row r="125" spans="1:6">
      <c r="A125" s="2">
        <v>45471</v>
      </c>
      <c r="B125">
        <v>32.526451110839837</v>
      </c>
      <c r="C125">
        <f t="shared" si="2"/>
        <v>1.009359280577294</v>
      </c>
      <c r="E125">
        <v>5460.47998046875</v>
      </c>
      <c r="F125">
        <f t="shared" si="3"/>
        <v>0.99591634741655433</v>
      </c>
    </row>
    <row r="126" spans="1:6">
      <c r="A126" s="2">
        <v>45474</v>
      </c>
      <c r="B126">
        <v>32.233993530273438</v>
      </c>
      <c r="C126">
        <f t="shared" si="2"/>
        <v>0.99100862311815707</v>
      </c>
      <c r="E126">
        <v>5475.08984375</v>
      </c>
      <c r="F126">
        <f t="shared" si="3"/>
        <v>1.0026755639309195</v>
      </c>
    </row>
    <row r="127" spans="1:6">
      <c r="A127" s="2">
        <v>45475</v>
      </c>
      <c r="B127">
        <v>32.727512359619141</v>
      </c>
      <c r="C127">
        <f t="shared" si="2"/>
        <v>1.0153105084196967</v>
      </c>
      <c r="E127">
        <v>5509.009765625</v>
      </c>
      <c r="F127">
        <f t="shared" si="3"/>
        <v>1.0061953178565135</v>
      </c>
    </row>
    <row r="128" spans="1:6">
      <c r="A128" s="2">
        <v>45476</v>
      </c>
      <c r="B128">
        <v>32.800624847412109</v>
      </c>
      <c r="C128">
        <f t="shared" si="2"/>
        <v>1.002233976325166</v>
      </c>
      <c r="E128">
        <v>5537.02001953125</v>
      </c>
      <c r="F128">
        <f t="shared" si="3"/>
        <v>1.0050844444097791</v>
      </c>
    </row>
    <row r="129" spans="1:6">
      <c r="A129" s="2">
        <v>45478</v>
      </c>
      <c r="B129">
        <v>32.544734954833977</v>
      </c>
      <c r="C129">
        <f t="shared" si="2"/>
        <v>0.99219862750272203</v>
      </c>
      <c r="E129">
        <v>5567.18994140625</v>
      </c>
      <c r="F129">
        <f t="shared" si="3"/>
        <v>1.0054487651784856</v>
      </c>
    </row>
    <row r="130" spans="1:6">
      <c r="A130" s="2">
        <v>45481</v>
      </c>
      <c r="B130">
        <v>32.334526062011719</v>
      </c>
      <c r="C130">
        <f t="shared" si="2"/>
        <v>0.99354092472671884</v>
      </c>
      <c r="E130">
        <v>5572.85009765625</v>
      </c>
      <c r="F130">
        <f t="shared" si="3"/>
        <v>1.0010166989647511</v>
      </c>
    </row>
    <row r="131" spans="1:6">
      <c r="A131" s="2">
        <v>45482</v>
      </c>
      <c r="B131">
        <v>32.334526062011719</v>
      </c>
      <c r="C131">
        <f t="shared" si="2"/>
        <v>1</v>
      </c>
      <c r="E131">
        <v>5576.97998046875</v>
      </c>
      <c r="F131">
        <f t="shared" si="3"/>
        <v>1.0007410719362857</v>
      </c>
    </row>
    <row r="132" spans="1:6">
      <c r="A132" s="2">
        <v>45483</v>
      </c>
      <c r="B132">
        <v>32.690952301025391</v>
      </c>
      <c r="C132">
        <f t="shared" ref="C132:C195" si="4">B132/B131</f>
        <v>1.0110230853030013</v>
      </c>
      <c r="E132">
        <v>5633.91015625</v>
      </c>
      <c r="F132">
        <f t="shared" ref="F132:F195" si="5">E132/E131</f>
        <v>1.0102080652935148</v>
      </c>
    </row>
    <row r="133" spans="1:6">
      <c r="A133" s="2">
        <v>45484</v>
      </c>
      <c r="B133">
        <v>32.718372344970703</v>
      </c>
      <c r="C133">
        <f t="shared" si="4"/>
        <v>1.0008387655303774</v>
      </c>
      <c r="E133">
        <v>5584.5400390625</v>
      </c>
      <c r="F133">
        <f t="shared" si="5"/>
        <v>0.99123697115887954</v>
      </c>
    </row>
    <row r="134" spans="1:6">
      <c r="A134" s="2">
        <v>45485</v>
      </c>
      <c r="B134">
        <v>32.992546081542969</v>
      </c>
      <c r="C134">
        <f t="shared" si="4"/>
        <v>1.0083798097803116</v>
      </c>
      <c r="E134">
        <v>5615.35009765625</v>
      </c>
      <c r="F134">
        <f t="shared" si="5"/>
        <v>1.0055170270744307</v>
      </c>
    </row>
    <row r="135" spans="1:6">
      <c r="A135" s="2">
        <v>45488</v>
      </c>
      <c r="B135">
        <v>32.709232330322273</v>
      </c>
      <c r="C135">
        <f t="shared" si="4"/>
        <v>0.99141279516529368</v>
      </c>
      <c r="E135">
        <v>5631.22021484375</v>
      </c>
      <c r="F135">
        <f t="shared" si="5"/>
        <v>1.0028262026252155</v>
      </c>
    </row>
    <row r="136" spans="1:6">
      <c r="A136" s="2">
        <v>45489</v>
      </c>
      <c r="B136">
        <v>32.910293579101563</v>
      </c>
      <c r="C136">
        <f t="shared" si="4"/>
        <v>1.0061469265542164</v>
      </c>
      <c r="E136">
        <v>5667.2001953125</v>
      </c>
      <c r="F136">
        <f t="shared" si="5"/>
        <v>1.0063893754987432</v>
      </c>
    </row>
    <row r="137" spans="1:6">
      <c r="A137" s="2">
        <v>45490</v>
      </c>
      <c r="B137">
        <v>33.120498657226563</v>
      </c>
      <c r="C137">
        <f t="shared" si="4"/>
        <v>1.0063872137032068</v>
      </c>
      <c r="E137">
        <v>5588.27001953125</v>
      </c>
      <c r="F137">
        <f t="shared" si="5"/>
        <v>0.98607245675800625</v>
      </c>
    </row>
    <row r="138" spans="1:6">
      <c r="A138" s="2">
        <v>45491</v>
      </c>
      <c r="B138">
        <v>33.147918701171882</v>
      </c>
      <c r="C138">
        <f t="shared" si="4"/>
        <v>1.0008278874128405</v>
      </c>
      <c r="E138">
        <v>5544.58984375</v>
      </c>
      <c r="F138">
        <f t="shared" si="5"/>
        <v>0.99218359606307749</v>
      </c>
    </row>
    <row r="139" spans="1:6">
      <c r="A139" s="2">
        <v>45492</v>
      </c>
      <c r="B139">
        <v>33.394676208496087</v>
      </c>
      <c r="C139">
        <f t="shared" si="4"/>
        <v>1.0074441327538155</v>
      </c>
      <c r="E139">
        <v>5505</v>
      </c>
      <c r="F139">
        <f t="shared" si="5"/>
        <v>0.99285973446807307</v>
      </c>
    </row>
    <row r="140" spans="1:6">
      <c r="A140" s="2">
        <v>45495</v>
      </c>
      <c r="B140">
        <v>33.577461242675781</v>
      </c>
      <c r="C140">
        <f t="shared" si="4"/>
        <v>1.0054734782585852</v>
      </c>
      <c r="E140">
        <v>5564.41015625</v>
      </c>
      <c r="F140">
        <f t="shared" si="5"/>
        <v>1.0107920356494096</v>
      </c>
    </row>
    <row r="141" spans="1:6">
      <c r="A141" s="2">
        <v>45496</v>
      </c>
      <c r="B141">
        <v>33.321563720703118</v>
      </c>
      <c r="C141">
        <f t="shared" si="4"/>
        <v>0.99237889010955282</v>
      </c>
      <c r="E141">
        <v>5555.740234375</v>
      </c>
      <c r="F141">
        <f t="shared" si="5"/>
        <v>0.99844189741022926</v>
      </c>
    </row>
    <row r="142" spans="1:6">
      <c r="A142" s="2">
        <v>45497</v>
      </c>
      <c r="B142">
        <v>33.422092437744141</v>
      </c>
      <c r="C142">
        <f t="shared" si="4"/>
        <v>1.0030169267530071</v>
      </c>
      <c r="E142">
        <v>5427.1298828125</v>
      </c>
      <c r="F142">
        <f t="shared" si="5"/>
        <v>0.97685090624526505</v>
      </c>
    </row>
    <row r="143" spans="1:6">
      <c r="A143" s="2">
        <v>45498</v>
      </c>
      <c r="B143">
        <v>33.202747344970703</v>
      </c>
      <c r="C143">
        <f t="shared" si="4"/>
        <v>0.99343712267022133</v>
      </c>
      <c r="E143">
        <v>5399.22021484375</v>
      </c>
      <c r="F143">
        <f t="shared" si="5"/>
        <v>0.99485737976215771</v>
      </c>
    </row>
    <row r="144" spans="1:6">
      <c r="A144" s="2">
        <v>45499</v>
      </c>
      <c r="B144">
        <v>33.504344940185547</v>
      </c>
      <c r="C144">
        <f t="shared" si="4"/>
        <v>1.0090835132430849</v>
      </c>
      <c r="E144">
        <v>5459.10009765625</v>
      </c>
      <c r="F144">
        <f t="shared" si="5"/>
        <v>1.0110904687028464</v>
      </c>
    </row>
    <row r="145" spans="1:6">
      <c r="A145" s="2">
        <v>45502</v>
      </c>
      <c r="B145">
        <v>33.522624969482422</v>
      </c>
      <c r="C145">
        <f t="shared" si="4"/>
        <v>1.0005456017519372</v>
      </c>
      <c r="E145">
        <v>5463.5400390625</v>
      </c>
      <c r="F145">
        <f t="shared" si="5"/>
        <v>1.0008133101292933</v>
      </c>
    </row>
    <row r="146" spans="1:6">
      <c r="A146" s="2">
        <v>45503</v>
      </c>
      <c r="B146">
        <v>34.006996154785163</v>
      </c>
      <c r="C146">
        <f t="shared" si="4"/>
        <v>1.0144490828431154</v>
      </c>
      <c r="E146">
        <v>5436.43994140625</v>
      </c>
      <c r="F146">
        <f t="shared" si="5"/>
        <v>0.99503982812196978</v>
      </c>
    </row>
    <row r="147" spans="1:6">
      <c r="A147" s="2">
        <v>45504</v>
      </c>
      <c r="B147">
        <v>34.198921203613281</v>
      </c>
      <c r="C147">
        <f t="shared" si="4"/>
        <v>1.0056436930787582</v>
      </c>
      <c r="E147">
        <v>5522.2998046875</v>
      </c>
      <c r="F147">
        <f t="shared" si="5"/>
        <v>1.0157933986591674</v>
      </c>
    </row>
    <row r="148" spans="1:6">
      <c r="A148" s="2">
        <v>45505</v>
      </c>
      <c r="B148">
        <v>34.363430023193359</v>
      </c>
      <c r="C148">
        <f t="shared" si="4"/>
        <v>1.0048103511394593</v>
      </c>
      <c r="E148">
        <v>5446.68017578125</v>
      </c>
      <c r="F148">
        <f t="shared" si="5"/>
        <v>0.98630649700654394</v>
      </c>
    </row>
    <row r="149" spans="1:6">
      <c r="A149" s="2">
        <v>45506</v>
      </c>
      <c r="B149">
        <v>34.692440032958977</v>
      </c>
      <c r="C149">
        <f t="shared" si="4"/>
        <v>1.0095744228542831</v>
      </c>
      <c r="E149">
        <v>5346.56005859375</v>
      </c>
      <c r="F149">
        <f t="shared" si="5"/>
        <v>0.98161813913130325</v>
      </c>
    </row>
    <row r="150" spans="1:6">
      <c r="A150" s="2">
        <v>45509</v>
      </c>
      <c r="B150">
        <v>34.089252471923828</v>
      </c>
      <c r="C150">
        <f t="shared" si="4"/>
        <v>0.98261328518656799</v>
      </c>
      <c r="E150">
        <v>5186.330078125</v>
      </c>
      <c r="F150">
        <f t="shared" si="5"/>
        <v>0.97003120161136025</v>
      </c>
    </row>
    <row r="151" spans="1:6">
      <c r="A151" s="2">
        <v>45510</v>
      </c>
      <c r="B151">
        <v>34.984893798828118</v>
      </c>
      <c r="C151">
        <f t="shared" si="4"/>
        <v>1.0262734223239993</v>
      </c>
      <c r="E151">
        <v>5240.02978515625</v>
      </c>
      <c r="F151">
        <f t="shared" si="5"/>
        <v>1.010354085880061</v>
      </c>
    </row>
    <row r="152" spans="1:6">
      <c r="A152" s="2">
        <v>45511</v>
      </c>
      <c r="B152">
        <v>35.140266418457031</v>
      </c>
      <c r="C152">
        <f t="shared" si="4"/>
        <v>1.0044411345228699</v>
      </c>
      <c r="E152">
        <v>5199.5</v>
      </c>
      <c r="F152">
        <f t="shared" si="5"/>
        <v>0.99226535214149714</v>
      </c>
    </row>
    <row r="153" spans="1:6">
      <c r="A153" s="2">
        <v>45512</v>
      </c>
      <c r="B153">
        <v>35.396160125732422</v>
      </c>
      <c r="C153">
        <f t="shared" si="4"/>
        <v>1.0072820650881857</v>
      </c>
      <c r="E153">
        <v>5319.31005859375</v>
      </c>
      <c r="F153">
        <f t="shared" si="5"/>
        <v>1.0230426115191364</v>
      </c>
    </row>
    <row r="154" spans="1:6">
      <c r="A154" s="2">
        <v>45513</v>
      </c>
      <c r="B154">
        <v>35.505832672119141</v>
      </c>
      <c r="C154">
        <f t="shared" si="4"/>
        <v>1.0030984306206421</v>
      </c>
      <c r="E154">
        <v>5344.16015625</v>
      </c>
      <c r="F154">
        <f t="shared" si="5"/>
        <v>1.0046716768495385</v>
      </c>
    </row>
    <row r="155" spans="1:6">
      <c r="A155" s="2">
        <v>45516</v>
      </c>
      <c r="B155">
        <v>35.688613891601563</v>
      </c>
      <c r="C155">
        <f t="shared" si="4"/>
        <v>1.0051479209393659</v>
      </c>
      <c r="E155">
        <v>5344.39013671875</v>
      </c>
      <c r="F155">
        <f t="shared" si="5"/>
        <v>1.0000430339776551</v>
      </c>
    </row>
    <row r="156" spans="1:6">
      <c r="A156" s="2">
        <v>45517</v>
      </c>
      <c r="B156">
        <v>35.981071472167969</v>
      </c>
      <c r="C156">
        <f t="shared" si="4"/>
        <v>1.0081947026985889</v>
      </c>
      <c r="E156">
        <v>5434.43017578125</v>
      </c>
      <c r="F156">
        <f t="shared" si="5"/>
        <v>1.0168475797535583</v>
      </c>
    </row>
    <row r="157" spans="1:6">
      <c r="A157" s="2">
        <v>45518</v>
      </c>
      <c r="B157">
        <v>36.136436462402337</v>
      </c>
      <c r="C157">
        <f t="shared" si="4"/>
        <v>1.0043179645262801</v>
      </c>
      <c r="E157">
        <v>5455.2099609375</v>
      </c>
      <c r="F157">
        <f t="shared" si="5"/>
        <v>1.0038237284285767</v>
      </c>
    </row>
    <row r="158" spans="1:6">
      <c r="A158" s="2">
        <v>45519</v>
      </c>
      <c r="B158">
        <v>35.855690002441413</v>
      </c>
      <c r="C158">
        <f t="shared" si="4"/>
        <v>0.9922309312305041</v>
      </c>
      <c r="E158">
        <v>5543.22021484375</v>
      </c>
      <c r="F158">
        <f t="shared" si="5"/>
        <v>1.0161332477643308</v>
      </c>
    </row>
    <row r="159" spans="1:6">
      <c r="A159" s="2">
        <v>45520</v>
      </c>
      <c r="B159">
        <v>35.976543426513672</v>
      </c>
      <c r="C159">
        <f t="shared" si="4"/>
        <v>1.0033705507846602</v>
      </c>
      <c r="E159">
        <v>5554.25</v>
      </c>
      <c r="F159">
        <f t="shared" si="5"/>
        <v>1.0019897793572614</v>
      </c>
    </row>
    <row r="160" spans="1:6">
      <c r="A160" s="2">
        <v>45523</v>
      </c>
      <c r="B160">
        <v>36.37628173828125</v>
      </c>
      <c r="C160">
        <f t="shared" si="4"/>
        <v>1.0111110816575275</v>
      </c>
      <c r="E160">
        <v>5608.25</v>
      </c>
      <c r="F160">
        <f t="shared" si="5"/>
        <v>1.0097222847369132</v>
      </c>
    </row>
    <row r="161" spans="1:6">
      <c r="A161" s="2">
        <v>45524</v>
      </c>
      <c r="B161">
        <v>36.301910400390618</v>
      </c>
      <c r="C161">
        <f t="shared" si="4"/>
        <v>0.99795549917867588</v>
      </c>
      <c r="E161">
        <v>5597.1201171875</v>
      </c>
      <c r="F161">
        <f t="shared" si="5"/>
        <v>0.99801544460170288</v>
      </c>
    </row>
    <row r="162" spans="1:6">
      <c r="A162" s="2">
        <v>45525</v>
      </c>
      <c r="B162">
        <v>36.255428314208977</v>
      </c>
      <c r="C162">
        <f t="shared" si="4"/>
        <v>0.99871956914473736</v>
      </c>
      <c r="E162">
        <v>5620.85009765625</v>
      </c>
      <c r="F162">
        <f t="shared" si="5"/>
        <v>1.004239676828782</v>
      </c>
    </row>
    <row r="163" spans="1:6">
      <c r="A163" s="2">
        <v>45526</v>
      </c>
      <c r="B163">
        <v>36.292613983154297</v>
      </c>
      <c r="C163">
        <f t="shared" si="4"/>
        <v>1.0010256579683199</v>
      </c>
      <c r="E163">
        <v>5570.64013671875</v>
      </c>
      <c r="F163">
        <f t="shared" si="5"/>
        <v>0.99106719445187907</v>
      </c>
    </row>
    <row r="164" spans="1:6">
      <c r="A164" s="2">
        <v>45527</v>
      </c>
      <c r="B164">
        <v>36.868980407714837</v>
      </c>
      <c r="C164">
        <f t="shared" si="4"/>
        <v>1.0158810942862386</v>
      </c>
      <c r="E164">
        <v>5634.60986328125</v>
      </c>
      <c r="F164">
        <f t="shared" si="5"/>
        <v>1.0114833708501192</v>
      </c>
    </row>
    <row r="165" spans="1:6">
      <c r="A165" s="2">
        <v>45530</v>
      </c>
      <c r="B165">
        <v>37.082801818847663</v>
      </c>
      <c r="C165">
        <f t="shared" si="4"/>
        <v>1.0057994934703451</v>
      </c>
      <c r="E165">
        <v>5616.83984375</v>
      </c>
      <c r="F165">
        <f t="shared" si="5"/>
        <v>0.99684627330686182</v>
      </c>
    </row>
    <row r="166" spans="1:6">
      <c r="A166" s="2">
        <v>45531</v>
      </c>
      <c r="B166">
        <v>36.878280639648438</v>
      </c>
      <c r="C166">
        <f t="shared" si="4"/>
        <v>0.99448474308391455</v>
      </c>
      <c r="E166">
        <v>5625.7998046875</v>
      </c>
      <c r="F166">
        <f t="shared" si="5"/>
        <v>1.001595196086545</v>
      </c>
    </row>
    <row r="167" spans="1:6">
      <c r="A167" s="2">
        <v>45532</v>
      </c>
      <c r="B167">
        <v>36.599391937255859</v>
      </c>
      <c r="C167">
        <f t="shared" si="4"/>
        <v>0.9924375893464854</v>
      </c>
      <c r="E167">
        <v>5592.18017578125</v>
      </c>
      <c r="F167">
        <f t="shared" si="5"/>
        <v>0.99402402679202384</v>
      </c>
    </row>
    <row r="168" spans="1:6">
      <c r="A168" s="2">
        <v>45533</v>
      </c>
      <c r="B168">
        <v>36.776020050048828</v>
      </c>
      <c r="C168">
        <f t="shared" si="4"/>
        <v>1.0048259848987593</v>
      </c>
      <c r="E168">
        <v>5591.9599609375</v>
      </c>
      <c r="F168">
        <f t="shared" si="5"/>
        <v>0.99996062093193927</v>
      </c>
    </row>
    <row r="169" spans="1:6">
      <c r="A169" s="2">
        <v>45534</v>
      </c>
      <c r="B169">
        <v>37.352390289306641</v>
      </c>
      <c r="C169">
        <f t="shared" si="4"/>
        <v>1.0156724473848291</v>
      </c>
      <c r="E169">
        <v>5648.39990234375</v>
      </c>
      <c r="F169">
        <f t="shared" si="5"/>
        <v>1.0100930517744244</v>
      </c>
    </row>
    <row r="170" spans="1:6">
      <c r="A170" s="2">
        <v>45538</v>
      </c>
      <c r="B170">
        <v>37.370983123779297</v>
      </c>
      <c r="C170">
        <f t="shared" si="4"/>
        <v>1.0004977682640561</v>
      </c>
      <c r="E170">
        <v>5528.93017578125</v>
      </c>
      <c r="F170">
        <f t="shared" si="5"/>
        <v>0.97884892560228831</v>
      </c>
    </row>
    <row r="171" spans="1:6">
      <c r="A171" s="2">
        <v>45539</v>
      </c>
      <c r="B171">
        <v>37.566207885742188</v>
      </c>
      <c r="C171">
        <f t="shared" si="4"/>
        <v>1.0052239664478795</v>
      </c>
      <c r="E171">
        <v>5520.06982421875</v>
      </c>
      <c r="F171">
        <f t="shared" si="5"/>
        <v>0.99839745641908961</v>
      </c>
    </row>
    <row r="172" spans="1:6">
      <c r="A172" s="2">
        <v>45540</v>
      </c>
      <c r="B172">
        <v>37.603385925292969</v>
      </c>
      <c r="C172">
        <f t="shared" si="4"/>
        <v>1.0009896670876086</v>
      </c>
      <c r="E172">
        <v>5503.41015625</v>
      </c>
      <c r="F172">
        <f t="shared" si="5"/>
        <v>0.99698198238441527</v>
      </c>
    </row>
    <row r="173" spans="1:6">
      <c r="A173" s="2">
        <v>45541</v>
      </c>
      <c r="B173">
        <v>37.547611236572273</v>
      </c>
      <c r="C173">
        <f t="shared" si="4"/>
        <v>0.9985167641863022</v>
      </c>
      <c r="E173">
        <v>5408.419921875</v>
      </c>
      <c r="F173">
        <f t="shared" si="5"/>
        <v>0.98273975014071535</v>
      </c>
    </row>
    <row r="174" spans="1:6">
      <c r="A174" s="2">
        <v>45544</v>
      </c>
      <c r="B174">
        <v>37.919460296630859</v>
      </c>
      <c r="C174">
        <f t="shared" si="4"/>
        <v>1.0099034012501014</v>
      </c>
      <c r="E174">
        <v>5471.0498046875</v>
      </c>
      <c r="F174">
        <f t="shared" si="5"/>
        <v>1.0115800702824842</v>
      </c>
    </row>
    <row r="175" spans="1:6">
      <c r="A175" s="2">
        <v>45545</v>
      </c>
      <c r="B175">
        <v>37.4267578125</v>
      </c>
      <c r="C175">
        <f t="shared" si="4"/>
        <v>0.98700660609943769</v>
      </c>
      <c r="E175">
        <v>5495.52001953125</v>
      </c>
      <c r="F175">
        <f t="shared" si="5"/>
        <v>1.0044726726528397</v>
      </c>
    </row>
    <row r="176" spans="1:6">
      <c r="A176" s="2">
        <v>45546</v>
      </c>
      <c r="B176">
        <v>37.408164978027337</v>
      </c>
      <c r="C176">
        <f t="shared" si="4"/>
        <v>0.99950322080887133</v>
      </c>
      <c r="E176">
        <v>5554.1298828125</v>
      </c>
      <c r="F176">
        <f t="shared" si="5"/>
        <v>1.0106650258888965</v>
      </c>
    </row>
    <row r="177" spans="1:6">
      <c r="A177" s="2">
        <v>45547</v>
      </c>
      <c r="B177">
        <v>37.640575408935547</v>
      </c>
      <c r="C177">
        <f t="shared" si="4"/>
        <v>1.0062128262919265</v>
      </c>
      <c r="E177">
        <v>5595.759765625</v>
      </c>
      <c r="F177">
        <f t="shared" si="5"/>
        <v>1.0074953023589392</v>
      </c>
    </row>
    <row r="178" spans="1:6">
      <c r="A178" s="2">
        <v>45548</v>
      </c>
      <c r="B178">
        <v>37.863685607910163</v>
      </c>
      <c r="C178">
        <f t="shared" si="4"/>
        <v>1.0059273854490984</v>
      </c>
      <c r="E178">
        <v>5626.02001953125</v>
      </c>
      <c r="F178">
        <f t="shared" si="5"/>
        <v>1.0054077114053646</v>
      </c>
    </row>
    <row r="179" spans="1:6">
      <c r="A179" s="2">
        <v>45551</v>
      </c>
      <c r="B179">
        <v>38.282012939453118</v>
      </c>
      <c r="C179">
        <f t="shared" si="4"/>
        <v>1.0110482464880692</v>
      </c>
      <c r="E179">
        <v>5633.08984375</v>
      </c>
      <c r="F179">
        <f t="shared" si="5"/>
        <v>1.0012566297656613</v>
      </c>
    </row>
    <row r="180" spans="1:6">
      <c r="A180" s="2">
        <v>45552</v>
      </c>
      <c r="B180">
        <v>37.947353363037109</v>
      </c>
      <c r="C180">
        <f t="shared" si="4"/>
        <v>0.99125804651533589</v>
      </c>
      <c r="E180">
        <v>5634.580078125</v>
      </c>
      <c r="F180">
        <f t="shared" si="5"/>
        <v>1.0002645500810987</v>
      </c>
    </row>
    <row r="181" spans="1:6">
      <c r="A181" s="2">
        <v>45553</v>
      </c>
      <c r="B181">
        <v>37.668460845947273</v>
      </c>
      <c r="C181">
        <f t="shared" si="4"/>
        <v>0.9926505410160833</v>
      </c>
      <c r="E181">
        <v>5618.259765625</v>
      </c>
      <c r="F181">
        <f t="shared" si="5"/>
        <v>0.99710354413750191</v>
      </c>
    </row>
    <row r="182" spans="1:6">
      <c r="A182" s="2">
        <v>45554</v>
      </c>
      <c r="B182">
        <v>37.547611236572273</v>
      </c>
      <c r="C182">
        <f t="shared" si="4"/>
        <v>0.99679175610946147</v>
      </c>
      <c r="E182">
        <v>5713.64013671875</v>
      </c>
      <c r="F182">
        <f t="shared" si="5"/>
        <v>1.0169768531667633</v>
      </c>
    </row>
    <row r="183" spans="1:6">
      <c r="A183" s="2">
        <v>45555</v>
      </c>
      <c r="B183">
        <v>37.668460845947273</v>
      </c>
      <c r="C183">
        <f t="shared" si="4"/>
        <v>1.0032185698475884</v>
      </c>
      <c r="E183">
        <v>5702.5498046875</v>
      </c>
      <c r="F183">
        <f t="shared" si="5"/>
        <v>0.99805897260487619</v>
      </c>
    </row>
    <row r="184" spans="1:6">
      <c r="A184" s="2">
        <v>45558</v>
      </c>
      <c r="B184">
        <v>38.003128051757813</v>
      </c>
      <c r="C184">
        <f t="shared" si="4"/>
        <v>1.0088845468674503</v>
      </c>
      <c r="E184">
        <v>5718.56982421875</v>
      </c>
      <c r="F184">
        <f t="shared" si="5"/>
        <v>1.0028092730585327</v>
      </c>
    </row>
    <row r="185" spans="1:6">
      <c r="A185" s="2">
        <v>45559</v>
      </c>
      <c r="B185">
        <v>37.984531402587891</v>
      </c>
      <c r="C185">
        <f t="shared" si="4"/>
        <v>0.99951065477703327</v>
      </c>
      <c r="E185">
        <v>5732.93017578125</v>
      </c>
      <c r="F185">
        <f t="shared" si="5"/>
        <v>1.002511178844347</v>
      </c>
    </row>
    <row r="186" spans="1:6">
      <c r="A186" s="2">
        <v>45560</v>
      </c>
      <c r="B186">
        <v>38.198348999023438</v>
      </c>
      <c r="C186">
        <f t="shared" si="4"/>
        <v>1.0056290702699304</v>
      </c>
      <c r="E186">
        <v>5722.259765625</v>
      </c>
      <c r="F186">
        <f t="shared" si="5"/>
        <v>0.99813875106985828</v>
      </c>
    </row>
    <row r="187" spans="1:6">
      <c r="A187" s="2">
        <v>45561</v>
      </c>
      <c r="B187">
        <v>37.910163879394531</v>
      </c>
      <c r="C187">
        <f t="shared" si="4"/>
        <v>0.99245556085064635</v>
      </c>
      <c r="E187">
        <v>5745.3701171875</v>
      </c>
      <c r="F187">
        <f t="shared" si="5"/>
        <v>1.0040386757171231</v>
      </c>
    </row>
    <row r="188" spans="1:6">
      <c r="A188" s="2">
        <v>45562</v>
      </c>
      <c r="B188">
        <v>37.845088958740227</v>
      </c>
      <c r="C188">
        <f t="shared" si="4"/>
        <v>0.99828344396343605</v>
      </c>
      <c r="E188">
        <v>5738.169921875</v>
      </c>
      <c r="F188">
        <f t="shared" si="5"/>
        <v>0.99874678303300946</v>
      </c>
    </row>
    <row r="189" spans="1:6">
      <c r="A189" s="2">
        <v>45565</v>
      </c>
      <c r="B189">
        <v>37.752132415771477</v>
      </c>
      <c r="C189">
        <f t="shared" si="4"/>
        <v>0.99754376206989248</v>
      </c>
      <c r="E189">
        <v>5762.47998046875</v>
      </c>
      <c r="F189">
        <f t="shared" si="5"/>
        <v>1.0042365525811767</v>
      </c>
    </row>
    <row r="190" spans="1:6">
      <c r="A190" s="2">
        <v>45566</v>
      </c>
      <c r="B190">
        <v>38.244831085205078</v>
      </c>
      <c r="C190">
        <f t="shared" si="4"/>
        <v>1.0130508831662122</v>
      </c>
      <c r="E190">
        <v>5708.75</v>
      </c>
      <c r="F190">
        <f t="shared" si="5"/>
        <v>0.99067589290533564</v>
      </c>
    </row>
    <row r="191" spans="1:6">
      <c r="A191" s="2">
        <v>45567</v>
      </c>
      <c r="B191">
        <v>38.170459747314453</v>
      </c>
      <c r="C191">
        <f t="shared" si="4"/>
        <v>0.99805538851185061</v>
      </c>
      <c r="E191">
        <v>5709.5400390625</v>
      </c>
      <c r="F191">
        <f t="shared" si="5"/>
        <v>1.000138390902124</v>
      </c>
    </row>
    <row r="192" spans="1:6">
      <c r="A192" s="2">
        <v>45568</v>
      </c>
      <c r="B192">
        <v>37.882278442382813</v>
      </c>
      <c r="C192">
        <f t="shared" si="4"/>
        <v>0.99245014844360324</v>
      </c>
      <c r="E192">
        <v>5699.93994140625</v>
      </c>
      <c r="F192">
        <f t="shared" si="5"/>
        <v>0.99831858650774496</v>
      </c>
    </row>
    <row r="193" spans="1:6">
      <c r="A193" s="2">
        <v>45569</v>
      </c>
      <c r="B193">
        <v>38.189048767089837</v>
      </c>
      <c r="C193">
        <f t="shared" si="4"/>
        <v>1.0080979903353386</v>
      </c>
      <c r="E193">
        <v>5751.06982421875</v>
      </c>
      <c r="F193">
        <f t="shared" si="5"/>
        <v>1.0089702493952744</v>
      </c>
    </row>
    <row r="194" spans="1:6">
      <c r="A194" s="2">
        <v>45572</v>
      </c>
      <c r="B194">
        <v>37.947353363037109</v>
      </c>
      <c r="C194">
        <f t="shared" si="4"/>
        <v>0.99367108079788014</v>
      </c>
      <c r="E194">
        <v>5695.93994140625</v>
      </c>
      <c r="F194">
        <f t="shared" si="5"/>
        <v>0.99041397783411733</v>
      </c>
    </row>
    <row r="195" spans="1:6">
      <c r="A195" s="2">
        <v>45573</v>
      </c>
      <c r="B195">
        <v>37.752132415771477</v>
      </c>
      <c r="C195">
        <f t="shared" si="4"/>
        <v>0.99485547923730067</v>
      </c>
      <c r="E195">
        <v>5751.1298828125</v>
      </c>
      <c r="F195">
        <f t="shared" si="5"/>
        <v>1.0096893474955819</v>
      </c>
    </row>
    <row r="196" spans="1:6">
      <c r="A196" s="2">
        <v>45574</v>
      </c>
      <c r="B196">
        <v>38.012420654296882</v>
      </c>
      <c r="C196">
        <f t="shared" ref="C196:C259" si="6">B196/B195</f>
        <v>1.0068946632115718</v>
      </c>
      <c r="E196">
        <v>5792.0400390625</v>
      </c>
      <c r="F196">
        <f t="shared" ref="F196:F259" si="7">E196/E195</f>
        <v>1.0071134119874883</v>
      </c>
    </row>
    <row r="197" spans="1:6">
      <c r="A197" s="2">
        <v>45575</v>
      </c>
      <c r="B197">
        <v>38.003128051757813</v>
      </c>
      <c r="C197">
        <f t="shared" si="6"/>
        <v>0.99975553773269055</v>
      </c>
      <c r="E197">
        <v>5780.0498046875</v>
      </c>
      <c r="F197">
        <f t="shared" si="7"/>
        <v>0.99792987716001003</v>
      </c>
    </row>
    <row r="198" spans="1:6">
      <c r="A198" s="2">
        <v>45576</v>
      </c>
      <c r="B198">
        <v>38.179756164550781</v>
      </c>
      <c r="C198">
        <f t="shared" si="6"/>
        <v>1.004647725643858</v>
      </c>
      <c r="E198">
        <v>5815.02978515625</v>
      </c>
      <c r="F198">
        <f t="shared" si="7"/>
        <v>1.0060518475879536</v>
      </c>
    </row>
    <row r="199" spans="1:6">
      <c r="A199" s="2">
        <v>45579</v>
      </c>
      <c r="B199">
        <v>38.254127502441413</v>
      </c>
      <c r="C199">
        <f t="shared" si="6"/>
        <v>1.0019479259524366</v>
      </c>
      <c r="E199">
        <v>5859.85009765625</v>
      </c>
      <c r="F199">
        <f t="shared" si="7"/>
        <v>1.0077076668832223</v>
      </c>
    </row>
    <row r="200" spans="1:6">
      <c r="A200" s="2">
        <v>45580</v>
      </c>
      <c r="B200">
        <v>38.38427734375</v>
      </c>
      <c r="C200">
        <f t="shared" si="6"/>
        <v>1.0034022430991343</v>
      </c>
      <c r="E200">
        <v>5815.259765625</v>
      </c>
      <c r="F200">
        <f t="shared" si="7"/>
        <v>0.9923905336675618</v>
      </c>
    </row>
    <row r="201" spans="1:6">
      <c r="A201" s="2">
        <v>45581</v>
      </c>
      <c r="B201">
        <v>38.867683410644531</v>
      </c>
      <c r="C201">
        <f t="shared" si="6"/>
        <v>1.0125938561397261</v>
      </c>
      <c r="E201">
        <v>5842.47021484375</v>
      </c>
      <c r="F201">
        <f t="shared" si="7"/>
        <v>1.0046791459565738</v>
      </c>
    </row>
    <row r="202" spans="1:6">
      <c r="A202" s="2">
        <v>45582</v>
      </c>
      <c r="B202">
        <v>38.89556884765625</v>
      </c>
      <c r="C202">
        <f t="shared" si="6"/>
        <v>1.0007174453058367</v>
      </c>
      <c r="E202">
        <v>5841.47021484375</v>
      </c>
      <c r="F202">
        <f t="shared" si="7"/>
        <v>0.99982883952108825</v>
      </c>
    </row>
    <row r="203" spans="1:6">
      <c r="A203" s="2">
        <v>45583</v>
      </c>
      <c r="B203">
        <v>39.025718688964837</v>
      </c>
      <c r="C203">
        <f t="shared" si="6"/>
        <v>1.0033461354381614</v>
      </c>
      <c r="E203">
        <v>5864.669921875</v>
      </c>
      <c r="F203">
        <f t="shared" si="7"/>
        <v>1.0039715527389488</v>
      </c>
    </row>
    <row r="204" spans="1:6">
      <c r="A204" s="2">
        <v>45586</v>
      </c>
      <c r="B204">
        <v>38.616680145263672</v>
      </c>
      <c r="C204">
        <f t="shared" si="6"/>
        <v>0.98951874411433127</v>
      </c>
      <c r="E204">
        <v>5853.97998046875</v>
      </c>
      <c r="F204">
        <f t="shared" si="7"/>
        <v>0.99817723050936302</v>
      </c>
    </row>
    <row r="205" spans="1:6">
      <c r="A205" s="2">
        <v>45587</v>
      </c>
      <c r="B205">
        <v>38.533016204833977</v>
      </c>
      <c r="C205">
        <f t="shared" si="6"/>
        <v>0.99783347661904187</v>
      </c>
      <c r="E205">
        <v>5851.2001953125</v>
      </c>
      <c r="F205">
        <f t="shared" si="7"/>
        <v>0.99952514611161558</v>
      </c>
    </row>
    <row r="206" spans="1:6">
      <c r="A206" s="2">
        <v>45588</v>
      </c>
      <c r="B206">
        <v>38.319198608398438</v>
      </c>
      <c r="C206">
        <f t="shared" si="6"/>
        <v>0.99445105477082496</v>
      </c>
      <c r="E206">
        <v>5797.419921875</v>
      </c>
      <c r="F206">
        <f t="shared" si="7"/>
        <v>0.99080867657193061</v>
      </c>
    </row>
    <row r="207" spans="1:6">
      <c r="A207" s="2">
        <v>45589</v>
      </c>
      <c r="B207">
        <v>38.23553466796875</v>
      </c>
      <c r="C207">
        <f t="shared" si="6"/>
        <v>0.99781665735537195</v>
      </c>
      <c r="E207">
        <v>5809.85986328125</v>
      </c>
      <c r="F207">
        <f t="shared" si="7"/>
        <v>1.0021457720113238</v>
      </c>
    </row>
    <row r="208" spans="1:6">
      <c r="A208" s="2">
        <v>45590</v>
      </c>
      <c r="B208">
        <v>38.058902740478523</v>
      </c>
      <c r="C208">
        <f t="shared" si="6"/>
        <v>0.99538042480577116</v>
      </c>
      <c r="E208">
        <v>5808.1201171875</v>
      </c>
      <c r="F208">
        <f t="shared" si="7"/>
        <v>0.99970055283006987</v>
      </c>
    </row>
    <row r="209" spans="1:6">
      <c r="A209" s="2">
        <v>45593</v>
      </c>
      <c r="B209">
        <v>37.993831634521477</v>
      </c>
      <c r="C209">
        <f t="shared" si="6"/>
        <v>0.99829025270642291</v>
      </c>
      <c r="E209">
        <v>5823.52001953125</v>
      </c>
      <c r="F209">
        <f t="shared" si="7"/>
        <v>1.0026514435020339</v>
      </c>
    </row>
    <row r="210" spans="1:6">
      <c r="A210" s="2">
        <v>45594</v>
      </c>
      <c r="B210">
        <v>37.556907653808587</v>
      </c>
      <c r="C210">
        <f t="shared" si="6"/>
        <v>0.98850013378708823</v>
      </c>
      <c r="E210">
        <v>5832.919921875</v>
      </c>
      <c r="F210">
        <f t="shared" si="7"/>
        <v>1.0016141272481633</v>
      </c>
    </row>
    <row r="211" spans="1:6">
      <c r="A211" s="2">
        <v>45595</v>
      </c>
      <c r="B211">
        <v>37.733535766601563</v>
      </c>
      <c r="C211">
        <f t="shared" si="6"/>
        <v>1.0047029461110348</v>
      </c>
      <c r="E211">
        <v>5813.669921875</v>
      </c>
      <c r="F211">
        <f t="shared" si="7"/>
        <v>0.99669976611065625</v>
      </c>
    </row>
    <row r="212" spans="1:6">
      <c r="A212" s="2">
        <v>45596</v>
      </c>
      <c r="B212">
        <v>37.556907653808587</v>
      </c>
      <c r="C212">
        <f t="shared" si="6"/>
        <v>0.99531906805963011</v>
      </c>
      <c r="E212">
        <v>5705.4501953125</v>
      </c>
      <c r="F212">
        <f t="shared" si="7"/>
        <v>0.98138529912830041</v>
      </c>
    </row>
    <row r="213" spans="1:6">
      <c r="A213" s="2">
        <v>45597</v>
      </c>
      <c r="B213">
        <v>37.575496673583977</v>
      </c>
      <c r="C213">
        <f t="shared" si="6"/>
        <v>1.000494956079631</v>
      </c>
      <c r="E213">
        <v>5728.7998046875</v>
      </c>
      <c r="F213">
        <f t="shared" si="7"/>
        <v>1.0040925095436262</v>
      </c>
    </row>
    <row r="214" spans="1:6">
      <c r="A214" s="2">
        <v>45600</v>
      </c>
      <c r="B214">
        <v>37.956649780273438</v>
      </c>
      <c r="C214">
        <f t="shared" si="6"/>
        <v>1.0101436611736769</v>
      </c>
      <c r="E214">
        <v>5712.68994140625</v>
      </c>
      <c r="F214">
        <f t="shared" si="7"/>
        <v>0.99718791652170002</v>
      </c>
    </row>
    <row r="215" spans="1:6">
      <c r="A215" s="2">
        <v>45601</v>
      </c>
      <c r="B215">
        <v>38.161167144775391</v>
      </c>
      <c r="C215">
        <f t="shared" si="6"/>
        <v>1.0053881827212328</v>
      </c>
      <c r="E215">
        <v>5782.759765625</v>
      </c>
      <c r="F215">
        <f t="shared" si="7"/>
        <v>1.0122656445452913</v>
      </c>
    </row>
    <row r="216" spans="1:6">
      <c r="A216" s="2">
        <v>45602</v>
      </c>
      <c r="B216">
        <v>38.607383728027337</v>
      </c>
      <c r="C216">
        <f t="shared" si="6"/>
        <v>1.011692949053657</v>
      </c>
      <c r="E216">
        <v>5929.0400390625</v>
      </c>
      <c r="F216">
        <f t="shared" si="7"/>
        <v>1.025295927786426</v>
      </c>
    </row>
    <row r="217" spans="1:6">
      <c r="A217" s="2">
        <v>45603</v>
      </c>
      <c r="B217">
        <v>39.434749603271477</v>
      </c>
      <c r="C217">
        <f t="shared" si="6"/>
        <v>1.0214302497437429</v>
      </c>
      <c r="E217">
        <v>5973.10009765625</v>
      </c>
      <c r="F217">
        <f t="shared" si="7"/>
        <v>1.0074312297274883</v>
      </c>
    </row>
    <row r="218" spans="1:6">
      <c r="A218" s="2">
        <v>45604</v>
      </c>
      <c r="B218">
        <v>39.351085662841797</v>
      </c>
      <c r="C218">
        <f t="shared" si="6"/>
        <v>0.9978784209036099</v>
      </c>
      <c r="E218">
        <v>5995.5400390625</v>
      </c>
      <c r="F218">
        <f t="shared" si="7"/>
        <v>1.0037568333092317</v>
      </c>
    </row>
    <row r="219" spans="1:6">
      <c r="A219" s="2">
        <v>45607</v>
      </c>
      <c r="B219">
        <v>39.769416809082031</v>
      </c>
      <c r="C219">
        <f t="shared" si="6"/>
        <v>1.0106307396401837</v>
      </c>
      <c r="E219">
        <v>6001.35009765625</v>
      </c>
      <c r="F219">
        <f t="shared" si="7"/>
        <v>1.0009690634297987</v>
      </c>
    </row>
    <row r="220" spans="1:6">
      <c r="A220" s="2">
        <v>45608</v>
      </c>
      <c r="B220">
        <v>39.211643218994141</v>
      </c>
      <c r="C220">
        <f t="shared" si="6"/>
        <v>0.98597481092655814</v>
      </c>
      <c r="E220">
        <v>5983.990234375</v>
      </c>
      <c r="F220">
        <f t="shared" si="7"/>
        <v>0.99710734034862758</v>
      </c>
    </row>
    <row r="221" spans="1:6">
      <c r="A221" s="2">
        <v>45609</v>
      </c>
      <c r="B221">
        <v>39.499832153320313</v>
      </c>
      <c r="C221">
        <f t="shared" si="6"/>
        <v>1.0073495755512376</v>
      </c>
      <c r="E221">
        <v>5985.3798828125</v>
      </c>
      <c r="F221">
        <f t="shared" si="7"/>
        <v>1.0002322277248243</v>
      </c>
    </row>
    <row r="222" spans="1:6">
      <c r="A222" s="2">
        <v>45610</v>
      </c>
      <c r="B222">
        <v>40.057605743408203</v>
      </c>
      <c r="C222">
        <f t="shared" si="6"/>
        <v>1.0141209103857167</v>
      </c>
      <c r="E222">
        <v>5949.169921875</v>
      </c>
      <c r="F222">
        <f t="shared" si="7"/>
        <v>0.99395026520514096</v>
      </c>
    </row>
    <row r="223" spans="1:6">
      <c r="A223" s="2">
        <v>45611</v>
      </c>
      <c r="B223">
        <v>39.815013885498047</v>
      </c>
      <c r="C223">
        <f t="shared" si="6"/>
        <v>0.99394392516956465</v>
      </c>
      <c r="E223">
        <v>5870.6201171875</v>
      </c>
      <c r="F223">
        <f t="shared" si="7"/>
        <v>0.98679651014863878</v>
      </c>
    </row>
    <row r="224" spans="1:6">
      <c r="A224" s="2">
        <v>45614</v>
      </c>
      <c r="B224">
        <v>40.173702239990227</v>
      </c>
      <c r="C224">
        <f t="shared" si="6"/>
        <v>1.0090088717669097</v>
      </c>
      <c r="E224">
        <v>5893.6201171875</v>
      </c>
      <c r="F224">
        <f t="shared" si="7"/>
        <v>1.0039178143945411</v>
      </c>
    </row>
    <row r="225" spans="1:6">
      <c r="A225" s="2">
        <v>45615</v>
      </c>
      <c r="B225">
        <v>40.570156097412109</v>
      </c>
      <c r="C225">
        <f t="shared" si="6"/>
        <v>1.0098684919565923</v>
      </c>
      <c r="E225">
        <v>5916.97998046875</v>
      </c>
      <c r="F225">
        <f t="shared" si="7"/>
        <v>1.00396358482847</v>
      </c>
    </row>
    <row r="226" spans="1:6">
      <c r="A226" s="2">
        <v>45616</v>
      </c>
      <c r="B226">
        <v>40.390811920166023</v>
      </c>
      <c r="C226">
        <f t="shared" si="6"/>
        <v>0.99557940628043262</v>
      </c>
      <c r="E226">
        <v>5917.10986328125</v>
      </c>
      <c r="F226">
        <f t="shared" si="7"/>
        <v>1.0000219508622521</v>
      </c>
    </row>
    <row r="227" spans="1:6">
      <c r="A227" s="2">
        <v>45617</v>
      </c>
      <c r="B227">
        <v>41.051559448242188</v>
      </c>
      <c r="C227">
        <f t="shared" si="6"/>
        <v>1.0163588572911622</v>
      </c>
      <c r="E227">
        <v>5948.7099609375</v>
      </c>
      <c r="F227">
        <f t="shared" si="7"/>
        <v>1.0053404615405817</v>
      </c>
    </row>
    <row r="228" spans="1:6">
      <c r="A228" s="2">
        <v>45618</v>
      </c>
      <c r="B228">
        <v>40.834453582763672</v>
      </c>
      <c r="C228">
        <f t="shared" si="6"/>
        <v>0.99471138567215112</v>
      </c>
      <c r="E228">
        <v>5969.33984375</v>
      </c>
      <c r="F228">
        <f t="shared" si="7"/>
        <v>1.0034679590949915</v>
      </c>
    </row>
    <row r="229" spans="1:6">
      <c r="A229" s="2">
        <v>45621</v>
      </c>
      <c r="B229">
        <v>40.541835784912109</v>
      </c>
      <c r="C229">
        <f t="shared" si="6"/>
        <v>0.99283404644417539</v>
      </c>
      <c r="E229">
        <v>5987.3701171875</v>
      </c>
      <c r="F229">
        <f t="shared" si="7"/>
        <v>1.0030204803059384</v>
      </c>
    </row>
    <row r="230" spans="1:6">
      <c r="A230" s="2">
        <v>45622</v>
      </c>
      <c r="B230">
        <v>40.305854797363281</v>
      </c>
      <c r="C230">
        <f t="shared" si="6"/>
        <v>0.9941793216074184</v>
      </c>
      <c r="E230">
        <v>6021.6298828125</v>
      </c>
      <c r="F230">
        <f t="shared" si="7"/>
        <v>1.0057220056476304</v>
      </c>
    </row>
    <row r="231" spans="1:6">
      <c r="A231" s="2">
        <v>45623</v>
      </c>
      <c r="B231">
        <v>40.494644165039063</v>
      </c>
      <c r="C231">
        <f t="shared" si="6"/>
        <v>1.0046839192128516</v>
      </c>
      <c r="E231">
        <v>5998.740234375</v>
      </c>
      <c r="F231">
        <f t="shared" si="7"/>
        <v>0.99619876198255997</v>
      </c>
    </row>
    <row r="232" spans="1:6">
      <c r="A232" s="2">
        <v>45625</v>
      </c>
      <c r="B232">
        <v>40.947727203369141</v>
      </c>
      <c r="C232">
        <f t="shared" si="6"/>
        <v>1.0111887151417729</v>
      </c>
      <c r="E232">
        <v>6032.3798828125</v>
      </c>
      <c r="F232">
        <f t="shared" si="7"/>
        <v>1.0056077854888152</v>
      </c>
    </row>
    <row r="233" spans="1:6">
      <c r="A233" s="2">
        <v>45628</v>
      </c>
      <c r="B233">
        <v>40.928844451904297</v>
      </c>
      <c r="C233">
        <f t="shared" si="6"/>
        <v>0.99953885715387669</v>
      </c>
      <c r="E233">
        <v>6047.14990234375</v>
      </c>
      <c r="F233">
        <f t="shared" si="7"/>
        <v>1.0024484564662999</v>
      </c>
    </row>
    <row r="234" spans="1:6">
      <c r="A234" s="2">
        <v>45629</v>
      </c>
      <c r="B234">
        <v>41.051559448242188</v>
      </c>
      <c r="C234">
        <f t="shared" si="6"/>
        <v>1.0029982521613112</v>
      </c>
      <c r="E234">
        <v>6049.8798828125</v>
      </c>
      <c r="F234">
        <f t="shared" si="7"/>
        <v>1.0004514491145147</v>
      </c>
    </row>
    <row r="235" spans="1:6">
      <c r="A235" s="2">
        <v>45630</v>
      </c>
      <c r="B235">
        <v>41.193149566650391</v>
      </c>
      <c r="C235">
        <f t="shared" si="6"/>
        <v>1.0034490801399816</v>
      </c>
      <c r="E235">
        <v>6086.490234375</v>
      </c>
      <c r="F235">
        <f t="shared" si="7"/>
        <v>1.0060514179242648</v>
      </c>
    </row>
    <row r="236" spans="1:6">
      <c r="A236" s="2">
        <v>45631</v>
      </c>
      <c r="B236">
        <v>41.457447052001953</v>
      </c>
      <c r="C236">
        <f t="shared" si="6"/>
        <v>1.0064160543229144</v>
      </c>
      <c r="E236">
        <v>6075.10986328125</v>
      </c>
      <c r="F236">
        <f t="shared" si="7"/>
        <v>0.99813022437307519</v>
      </c>
    </row>
    <row r="237" spans="1:6">
      <c r="A237" s="2">
        <v>45632</v>
      </c>
      <c r="B237">
        <v>40.721183776855469</v>
      </c>
      <c r="C237">
        <f t="shared" si="6"/>
        <v>0.98224050616954406</v>
      </c>
      <c r="E237">
        <v>6090.27001953125</v>
      </c>
      <c r="F237">
        <f t="shared" si="7"/>
        <v>1.0024954538421815</v>
      </c>
    </row>
    <row r="238" spans="1:6">
      <c r="A238" s="2">
        <v>45635</v>
      </c>
      <c r="B238">
        <v>39.975479125976563</v>
      </c>
      <c r="C238">
        <f t="shared" si="6"/>
        <v>0.9816875497783849</v>
      </c>
      <c r="E238">
        <v>6052.85009765625</v>
      </c>
      <c r="F238">
        <f t="shared" si="7"/>
        <v>0.99385578607270353</v>
      </c>
    </row>
    <row r="239" spans="1:6">
      <c r="A239" s="2">
        <v>45636</v>
      </c>
      <c r="B239">
        <v>39.937717437744141</v>
      </c>
      <c r="C239">
        <f t="shared" si="6"/>
        <v>0.99905537872070471</v>
      </c>
      <c r="E239">
        <v>6034.91015625</v>
      </c>
      <c r="F239">
        <f t="shared" si="7"/>
        <v>0.99703611668605563</v>
      </c>
    </row>
    <row r="240" spans="1:6">
      <c r="A240" s="2">
        <v>45637</v>
      </c>
      <c r="B240">
        <v>39.966037750244141</v>
      </c>
      <c r="C240">
        <f t="shared" si="6"/>
        <v>1.0007091119452218</v>
      </c>
      <c r="E240">
        <v>6084.18994140625</v>
      </c>
      <c r="F240">
        <f t="shared" si="7"/>
        <v>1.0081657860482336</v>
      </c>
    </row>
    <row r="241" spans="1:6">
      <c r="A241" s="2">
        <v>45638</v>
      </c>
      <c r="B241">
        <v>39.692298889160163</v>
      </c>
      <c r="C241">
        <f t="shared" si="6"/>
        <v>0.99315071304304348</v>
      </c>
      <c r="E241">
        <v>6051.25</v>
      </c>
      <c r="F241">
        <f t="shared" si="7"/>
        <v>0.9945859774721898</v>
      </c>
    </row>
    <row r="242" spans="1:6">
      <c r="A242" s="2">
        <v>45639</v>
      </c>
      <c r="B242">
        <v>39.560146331787109</v>
      </c>
      <c r="C242">
        <f t="shared" si="6"/>
        <v>0.99667057436652673</v>
      </c>
      <c r="E242">
        <v>6051.08984375</v>
      </c>
      <c r="F242">
        <f t="shared" si="7"/>
        <v>0.9999735333608758</v>
      </c>
    </row>
    <row r="243" spans="1:6">
      <c r="A243" s="2">
        <v>45642</v>
      </c>
      <c r="B243">
        <v>39.201454162597663</v>
      </c>
      <c r="C243">
        <f t="shared" si="6"/>
        <v>0.99093299185040595</v>
      </c>
      <c r="E243">
        <v>6074.080078125</v>
      </c>
      <c r="F243">
        <f t="shared" si="7"/>
        <v>1.0037993543260222</v>
      </c>
    </row>
    <row r="244" spans="1:6">
      <c r="A244" s="2">
        <v>45643</v>
      </c>
      <c r="B244">
        <v>39.078742980957031</v>
      </c>
      <c r="C244">
        <f t="shared" si="6"/>
        <v>0.99686972883374025</v>
      </c>
      <c r="E244">
        <v>6050.60986328125</v>
      </c>
      <c r="F244">
        <f t="shared" si="7"/>
        <v>0.99613600503419852</v>
      </c>
    </row>
    <row r="245" spans="1:6">
      <c r="A245" s="2">
        <v>45644</v>
      </c>
      <c r="B245">
        <v>38.229206085205078</v>
      </c>
      <c r="C245">
        <f t="shared" si="6"/>
        <v>0.978260895030172</v>
      </c>
      <c r="E245">
        <v>5872.16015625</v>
      </c>
      <c r="F245">
        <f t="shared" si="7"/>
        <v>0.97050715364839657</v>
      </c>
    </row>
    <row r="246" spans="1:6">
      <c r="A246" s="2">
        <v>45645</v>
      </c>
      <c r="B246">
        <v>38.427433013916023</v>
      </c>
      <c r="C246">
        <f t="shared" si="6"/>
        <v>1.0051852222164681</v>
      </c>
      <c r="E246">
        <v>5867.080078125</v>
      </c>
      <c r="F246">
        <f t="shared" si="7"/>
        <v>0.99913488767509295</v>
      </c>
    </row>
    <row r="247" spans="1:6">
      <c r="A247" s="2">
        <v>45646</v>
      </c>
      <c r="B247">
        <v>39.050426483154297</v>
      </c>
      <c r="C247">
        <f t="shared" si="6"/>
        <v>1.0162122062385137</v>
      </c>
      <c r="E247">
        <v>5930.85009765625</v>
      </c>
      <c r="F247">
        <f t="shared" si="7"/>
        <v>1.0108691237689105</v>
      </c>
    </row>
    <row r="248" spans="1:6">
      <c r="A248" s="2">
        <v>45649</v>
      </c>
      <c r="B248">
        <v>39.456314086914063</v>
      </c>
      <c r="C248">
        <f t="shared" si="6"/>
        <v>1.010393935234865</v>
      </c>
      <c r="E248">
        <v>5974.06982421875</v>
      </c>
      <c r="F248">
        <f t="shared" si="7"/>
        <v>1.0072872734685336</v>
      </c>
    </row>
    <row r="249" spans="1:6">
      <c r="A249" s="2">
        <v>45650</v>
      </c>
      <c r="B249">
        <v>39.522396087646477</v>
      </c>
      <c r="C249">
        <f t="shared" si="6"/>
        <v>1.0016748143424359</v>
      </c>
      <c r="E249">
        <v>6040.0400390625</v>
      </c>
      <c r="F249">
        <f t="shared" si="7"/>
        <v>1.0110427592553921</v>
      </c>
    </row>
    <row r="250" spans="1:6">
      <c r="A250" s="2">
        <v>45652</v>
      </c>
      <c r="B250">
        <v>39.456314086914063</v>
      </c>
      <c r="C250">
        <f t="shared" si="6"/>
        <v>0.99832798597064132</v>
      </c>
      <c r="E250">
        <v>6037.58984375</v>
      </c>
      <c r="F250">
        <f t="shared" si="7"/>
        <v>0.99959434121352608</v>
      </c>
    </row>
    <row r="251" spans="1:6">
      <c r="A251" s="2">
        <v>45653</v>
      </c>
      <c r="B251">
        <v>39.475193023681641</v>
      </c>
      <c r="C251">
        <f t="shared" si="6"/>
        <v>1.0004784769486068</v>
      </c>
      <c r="E251">
        <v>5970.83984375</v>
      </c>
      <c r="F251">
        <f t="shared" si="7"/>
        <v>0.98894426389876444</v>
      </c>
    </row>
    <row r="252" spans="1:6">
      <c r="A252" s="2">
        <v>45656</v>
      </c>
      <c r="B252">
        <v>39.758377075195313</v>
      </c>
      <c r="C252">
        <f t="shared" si="6"/>
        <v>1.0071737217686001</v>
      </c>
      <c r="E252">
        <v>5906.93994140625</v>
      </c>
      <c r="F252">
        <f t="shared" si="7"/>
        <v>0.98929800429823322</v>
      </c>
    </row>
    <row r="253" spans="1:6">
      <c r="A253" s="2">
        <v>45657</v>
      </c>
      <c r="B253">
        <v>40.050987243652337</v>
      </c>
      <c r="C253">
        <f t="shared" si="6"/>
        <v>1.0073597110843737</v>
      </c>
      <c r="E253">
        <v>5881.6298828125</v>
      </c>
      <c r="F253">
        <f t="shared" si="7"/>
        <v>0.9957151996050726</v>
      </c>
    </row>
    <row r="254" spans="1:6">
      <c r="A254" s="2">
        <v>45659</v>
      </c>
      <c r="B254">
        <v>40.570156097412109</v>
      </c>
      <c r="C254">
        <f t="shared" si="6"/>
        <v>1.0129626980379129</v>
      </c>
      <c r="E254">
        <v>5868.5498046875</v>
      </c>
      <c r="F254">
        <f t="shared" si="7"/>
        <v>0.99777611335877781</v>
      </c>
    </row>
    <row r="255" spans="1:6">
      <c r="A255" s="2">
        <v>45660</v>
      </c>
      <c r="B255">
        <v>40.673988342285163</v>
      </c>
      <c r="C255">
        <f t="shared" si="6"/>
        <v>1.0025593257423941</v>
      </c>
      <c r="E255">
        <v>5942.47021484375</v>
      </c>
      <c r="F255">
        <f t="shared" si="7"/>
        <v>1.012596026721492</v>
      </c>
    </row>
    <row r="256" spans="1:6">
      <c r="A256" s="2">
        <v>45663</v>
      </c>
      <c r="B256">
        <v>40.579593658447273</v>
      </c>
      <c r="C256">
        <f t="shared" si="6"/>
        <v>0.99767923708283712</v>
      </c>
      <c r="E256">
        <v>5975.3798828125</v>
      </c>
      <c r="F256">
        <f t="shared" si="7"/>
        <v>1.0055380450854503</v>
      </c>
    </row>
    <row r="257" spans="1:6">
      <c r="A257" s="2">
        <v>45664</v>
      </c>
      <c r="B257">
        <v>41.193149566650391</v>
      </c>
      <c r="C257">
        <f t="shared" si="6"/>
        <v>1.0151198139973341</v>
      </c>
      <c r="E257">
        <v>5909.02978515625</v>
      </c>
      <c r="F257">
        <f t="shared" si="7"/>
        <v>0.98889608711789212</v>
      </c>
    </row>
    <row r="258" spans="1:6">
      <c r="A258" s="2">
        <v>45665</v>
      </c>
      <c r="B258">
        <v>41.551845550537109</v>
      </c>
      <c r="C258">
        <f t="shared" si="6"/>
        <v>1.0087076610470473</v>
      </c>
      <c r="E258">
        <v>5918.25</v>
      </c>
      <c r="F258">
        <f t="shared" si="7"/>
        <v>1.0015603601909253</v>
      </c>
    </row>
    <row r="259" spans="1:6">
      <c r="A259" s="2">
        <v>45667</v>
      </c>
      <c r="B259">
        <v>41.042121887207031</v>
      </c>
      <c r="C259">
        <f t="shared" si="6"/>
        <v>0.98773282734914547</v>
      </c>
      <c r="E259">
        <v>5827.0400390625</v>
      </c>
      <c r="F259">
        <f t="shared" si="7"/>
        <v>0.98458835619693319</v>
      </c>
    </row>
    <row r="260" spans="1:6">
      <c r="A260" s="2">
        <v>45670</v>
      </c>
      <c r="B260">
        <v>40.966609954833977</v>
      </c>
      <c r="C260">
        <f t="shared" ref="C260:C323" si="8">B260/B259</f>
        <v>0.99816013576051021</v>
      </c>
      <c r="E260">
        <v>5836.22021484375</v>
      </c>
      <c r="F260">
        <f t="shared" ref="F260:F323" si="9">E260/E259</f>
        <v>1.0015754440882008</v>
      </c>
    </row>
    <row r="261" spans="1:6">
      <c r="A261" s="2">
        <v>45671</v>
      </c>
      <c r="B261">
        <v>41.599040985107422</v>
      </c>
      <c r="C261">
        <f t="shared" si="8"/>
        <v>1.0154377194249342</v>
      </c>
      <c r="E261">
        <v>5842.91015625</v>
      </c>
      <c r="F261">
        <f t="shared" si="9"/>
        <v>1.001146279811244</v>
      </c>
    </row>
    <row r="262" spans="1:6">
      <c r="A262" s="2">
        <v>45672</v>
      </c>
      <c r="B262">
        <v>41.844467163085938</v>
      </c>
      <c r="C262">
        <f t="shared" si="8"/>
        <v>1.0058998037494753</v>
      </c>
      <c r="E262">
        <v>5949.91015625</v>
      </c>
      <c r="F262">
        <f t="shared" si="9"/>
        <v>1.0183127922796391</v>
      </c>
    </row>
    <row r="263" spans="1:6">
      <c r="A263" s="2">
        <v>45673</v>
      </c>
      <c r="B263">
        <v>41.561283111572273</v>
      </c>
      <c r="C263">
        <f t="shared" si="8"/>
        <v>0.99323246128550347</v>
      </c>
      <c r="E263">
        <v>5937.33984375</v>
      </c>
      <c r="F263">
        <f t="shared" si="9"/>
        <v>0.9978873105358077</v>
      </c>
    </row>
    <row r="264" spans="1:6">
      <c r="A264" s="2">
        <v>45674</v>
      </c>
      <c r="B264">
        <v>42.014366149902337</v>
      </c>
      <c r="C264">
        <f t="shared" si="8"/>
        <v>1.0109015652166886</v>
      </c>
      <c r="E264">
        <v>5996.66015625</v>
      </c>
      <c r="F264">
        <f t="shared" si="9"/>
        <v>1.0099910589693537</v>
      </c>
    </row>
    <row r="265" spans="1:6">
      <c r="A265" s="2">
        <v>45678</v>
      </c>
      <c r="B265">
        <v>42.769515991210938</v>
      </c>
      <c r="C265">
        <f t="shared" si="8"/>
        <v>1.0179736102316601</v>
      </c>
      <c r="E265">
        <v>6049.240234375</v>
      </c>
      <c r="F265">
        <f t="shared" si="9"/>
        <v>1.0087682271055829</v>
      </c>
    </row>
    <row r="266" spans="1:6">
      <c r="A266" s="2">
        <v>45679</v>
      </c>
      <c r="B266">
        <v>42.250350952148438</v>
      </c>
      <c r="C266">
        <f t="shared" si="8"/>
        <v>0.98786133003774956</v>
      </c>
      <c r="E266">
        <v>6086.3701171875</v>
      </c>
      <c r="F266">
        <f t="shared" si="9"/>
        <v>1.0061379415222276</v>
      </c>
    </row>
    <row r="267" spans="1:6">
      <c r="A267" s="2">
        <v>45680</v>
      </c>
      <c r="B267">
        <v>42.344745635986328</v>
      </c>
      <c r="C267">
        <f t="shared" si="8"/>
        <v>1.0022341751419959</v>
      </c>
      <c r="E267">
        <v>6118.7099609375</v>
      </c>
      <c r="F267">
        <f t="shared" si="9"/>
        <v>1.0053134862204114</v>
      </c>
    </row>
    <row r="268" spans="1:6">
      <c r="A268" s="2">
        <v>45681</v>
      </c>
      <c r="B268">
        <v>42.533531188964837</v>
      </c>
      <c r="C268">
        <f t="shared" si="8"/>
        <v>1.0044582993744109</v>
      </c>
      <c r="E268">
        <v>6101.240234375</v>
      </c>
      <c r="F268">
        <f t="shared" si="9"/>
        <v>0.99714486768060118</v>
      </c>
    </row>
    <row r="269" spans="1:6">
      <c r="A269" s="2">
        <v>45684</v>
      </c>
      <c r="B269">
        <v>42.193717956542969</v>
      </c>
      <c r="C269">
        <f t="shared" si="8"/>
        <v>0.99201069784419804</v>
      </c>
      <c r="E269">
        <v>6012.27978515625</v>
      </c>
      <c r="F269">
        <f t="shared" si="9"/>
        <v>0.98541928430919046</v>
      </c>
    </row>
    <row r="270" spans="1:6">
      <c r="A270" s="2">
        <v>45685</v>
      </c>
      <c r="B270">
        <v>41.967174530029297</v>
      </c>
      <c r="C270">
        <f t="shared" si="8"/>
        <v>0.99463087308999421</v>
      </c>
      <c r="E270">
        <v>6067.7001953125</v>
      </c>
      <c r="F270">
        <f t="shared" si="9"/>
        <v>1.0092178694499676</v>
      </c>
    </row>
    <row r="271" spans="1:6">
      <c r="A271" s="2">
        <v>45686</v>
      </c>
      <c r="B271">
        <v>41.778385162353523</v>
      </c>
      <c r="C271">
        <f t="shared" si="8"/>
        <v>0.9955014992124217</v>
      </c>
      <c r="E271">
        <v>6039.31005859375</v>
      </c>
      <c r="F271">
        <f t="shared" si="9"/>
        <v>0.99532110423967846</v>
      </c>
    </row>
    <row r="272" spans="1:6">
      <c r="A272" s="2">
        <v>45687</v>
      </c>
      <c r="B272">
        <v>42.004928588867188</v>
      </c>
      <c r="C272">
        <f t="shared" si="8"/>
        <v>1.0054225031827655</v>
      </c>
      <c r="E272">
        <v>6071.169921875</v>
      </c>
      <c r="F272">
        <f t="shared" si="9"/>
        <v>1.0052754144053118</v>
      </c>
    </row>
    <row r="273" spans="1:6">
      <c r="A273" s="2">
        <v>45688</v>
      </c>
      <c r="B273">
        <v>40.815578460693359</v>
      </c>
      <c r="C273">
        <f t="shared" si="8"/>
        <v>0.97168546244144671</v>
      </c>
      <c r="E273">
        <v>6040.52978515625</v>
      </c>
      <c r="F273">
        <f t="shared" si="9"/>
        <v>0.99495317424598007</v>
      </c>
    </row>
    <row r="274" spans="1:6">
      <c r="A274" s="2">
        <v>45691</v>
      </c>
      <c r="B274">
        <v>40.513523101806641</v>
      </c>
      <c r="C274">
        <f t="shared" si="8"/>
        <v>0.9925995080731832</v>
      </c>
      <c r="E274">
        <v>5994.56982421875</v>
      </c>
      <c r="F274">
        <f t="shared" si="9"/>
        <v>0.99239140231533329</v>
      </c>
    </row>
    <row r="275" spans="1:6">
      <c r="A275" s="2">
        <v>45692</v>
      </c>
      <c r="B275">
        <v>41.268665313720703</v>
      </c>
      <c r="C275">
        <f t="shared" si="8"/>
        <v>1.0186392629941479</v>
      </c>
      <c r="E275">
        <v>6037.8798828125</v>
      </c>
      <c r="F275">
        <f t="shared" si="9"/>
        <v>1.0072248818286798</v>
      </c>
    </row>
    <row r="276" spans="1:6">
      <c r="A276" s="2">
        <v>45693</v>
      </c>
      <c r="B276">
        <v>41.466888427734382</v>
      </c>
      <c r="C276">
        <f t="shared" si="8"/>
        <v>1.0048032353968031</v>
      </c>
      <c r="E276">
        <v>6061.47998046875</v>
      </c>
      <c r="F276">
        <f t="shared" si="9"/>
        <v>1.0039086729306144</v>
      </c>
    </row>
    <row r="277" spans="1:6">
      <c r="A277" s="2">
        <v>45694</v>
      </c>
      <c r="B277">
        <v>41.721752166748047</v>
      </c>
      <c r="C277">
        <f t="shared" si="8"/>
        <v>1.0061461987787634</v>
      </c>
      <c r="E277">
        <v>6083.56982421875</v>
      </c>
      <c r="F277">
        <f t="shared" si="9"/>
        <v>1.0036442987226186</v>
      </c>
    </row>
    <row r="278" spans="1:6">
      <c r="A278" s="2">
        <v>45695</v>
      </c>
      <c r="B278">
        <v>41.957736968994141</v>
      </c>
      <c r="C278">
        <f t="shared" si="8"/>
        <v>1.0056561575195342</v>
      </c>
      <c r="E278">
        <v>6025.990234375</v>
      </c>
      <c r="F278">
        <f t="shared" si="9"/>
        <v>0.9905352298884571</v>
      </c>
    </row>
    <row r="279" spans="1:6">
      <c r="A279" s="2">
        <v>45698</v>
      </c>
      <c r="B279">
        <v>42.297550201416023</v>
      </c>
      <c r="C279">
        <f t="shared" si="8"/>
        <v>1.0080989409098255</v>
      </c>
      <c r="E279">
        <v>6066.43994140625</v>
      </c>
      <c r="F279">
        <f t="shared" si="9"/>
        <v>1.0067125410858628</v>
      </c>
    </row>
    <row r="280" spans="1:6">
      <c r="A280" s="2">
        <v>45699</v>
      </c>
      <c r="B280">
        <v>42.712879180908203</v>
      </c>
      <c r="C280">
        <f t="shared" si="8"/>
        <v>1.0098192206762433</v>
      </c>
      <c r="E280">
        <v>6068.5</v>
      </c>
      <c r="F280">
        <f t="shared" si="9"/>
        <v>1.0003395827888593</v>
      </c>
    </row>
    <row r="281" spans="1:6">
      <c r="A281" s="2">
        <v>45700</v>
      </c>
      <c r="B281">
        <v>42.5712890625</v>
      </c>
      <c r="C281">
        <f t="shared" si="8"/>
        <v>0.99668507201754053</v>
      </c>
      <c r="E281">
        <v>6051.97021484375</v>
      </c>
      <c r="F281">
        <f t="shared" si="9"/>
        <v>0.99727613328561426</v>
      </c>
    </row>
    <row r="282" spans="1:6">
      <c r="A282" s="2">
        <v>45701</v>
      </c>
      <c r="B282">
        <v>42.901664733886719</v>
      </c>
      <c r="C282">
        <f t="shared" si="8"/>
        <v>1.0077605277796895</v>
      </c>
      <c r="E282">
        <v>6115.06982421875</v>
      </c>
      <c r="F282">
        <f t="shared" si="9"/>
        <v>1.0104262921222307</v>
      </c>
    </row>
    <row r="283" spans="1:6">
      <c r="A283" s="2">
        <v>45702</v>
      </c>
      <c r="B283">
        <v>41.263393402099609</v>
      </c>
      <c r="C283">
        <f t="shared" si="8"/>
        <v>0.96181333890073761</v>
      </c>
      <c r="E283">
        <v>6114.6298828125</v>
      </c>
      <c r="F283">
        <f t="shared" si="9"/>
        <v>0.99992805619250535</v>
      </c>
    </row>
    <row r="284" spans="1:6">
      <c r="A284" s="2">
        <v>45706</v>
      </c>
      <c r="B284">
        <v>40.956813812255859</v>
      </c>
      <c r="C284">
        <f t="shared" si="8"/>
        <v>0.99257017989634977</v>
      </c>
      <c r="E284">
        <v>6129.580078125</v>
      </c>
      <c r="F284">
        <f t="shared" si="9"/>
        <v>1.0024449877750612</v>
      </c>
    </row>
    <row r="285" spans="1:6">
      <c r="A285" s="2">
        <v>45707</v>
      </c>
      <c r="B285">
        <v>40.535270690917969</v>
      </c>
      <c r="C285">
        <f t="shared" si="8"/>
        <v>0.98970761926769435</v>
      </c>
      <c r="E285">
        <v>6144.14990234375</v>
      </c>
      <c r="F285">
        <f t="shared" si="9"/>
        <v>1.0023769693899174</v>
      </c>
    </row>
    <row r="286" spans="1:6">
      <c r="A286" s="2">
        <v>45708</v>
      </c>
      <c r="B286">
        <v>40.219112396240227</v>
      </c>
      <c r="C286">
        <f t="shared" si="8"/>
        <v>0.9922004148661433</v>
      </c>
      <c r="E286">
        <v>6117.52001953125</v>
      </c>
      <c r="F286">
        <f t="shared" si="9"/>
        <v>0.99566581492382833</v>
      </c>
    </row>
    <row r="287" spans="1:6">
      <c r="A287" s="2">
        <v>45709</v>
      </c>
      <c r="B287">
        <v>40.027500152587891</v>
      </c>
      <c r="C287">
        <f t="shared" si="8"/>
        <v>0.99523579133809403</v>
      </c>
      <c r="E287">
        <v>6013.1298828125</v>
      </c>
      <c r="F287">
        <f t="shared" si="9"/>
        <v>0.98293587329743648</v>
      </c>
    </row>
    <row r="288" spans="1:6">
      <c r="A288" s="2">
        <v>45712</v>
      </c>
      <c r="B288">
        <v>39.797573089599609</v>
      </c>
      <c r="C288">
        <f t="shared" si="8"/>
        <v>0.99425577260354048</v>
      </c>
      <c r="E288">
        <v>5983.25</v>
      </c>
      <c r="F288">
        <f t="shared" si="9"/>
        <v>0.99503089349559759</v>
      </c>
    </row>
    <row r="289" spans="1:6">
      <c r="A289" s="2">
        <v>45713</v>
      </c>
      <c r="B289">
        <v>39.902957916259773</v>
      </c>
      <c r="C289">
        <f t="shared" si="8"/>
        <v>1.0026480214364555</v>
      </c>
      <c r="E289">
        <v>5955.25</v>
      </c>
      <c r="F289">
        <f t="shared" si="9"/>
        <v>0.99532026908452764</v>
      </c>
    </row>
    <row r="290" spans="1:6">
      <c r="A290" s="2">
        <v>45714</v>
      </c>
      <c r="B290">
        <v>39.998760223388672</v>
      </c>
      <c r="C290">
        <f t="shared" si="8"/>
        <v>1.002400882343859</v>
      </c>
      <c r="E290">
        <v>5956.06005859375</v>
      </c>
      <c r="F290">
        <f t="shared" si="9"/>
        <v>1.000136024280047</v>
      </c>
    </row>
    <row r="291" spans="1:6">
      <c r="A291" s="2">
        <v>45715</v>
      </c>
      <c r="B291">
        <v>39.979598999023438</v>
      </c>
      <c r="C291">
        <f t="shared" si="8"/>
        <v>0.99952095454313528</v>
      </c>
      <c r="E291">
        <v>5861.56982421875</v>
      </c>
      <c r="F291">
        <f t="shared" si="9"/>
        <v>0.98413544634449013</v>
      </c>
    </row>
    <row r="292" spans="1:6">
      <c r="A292" s="2">
        <v>45716</v>
      </c>
      <c r="B292">
        <v>40.937656402587891</v>
      </c>
      <c r="C292">
        <f t="shared" si="8"/>
        <v>1.0239636571539363</v>
      </c>
      <c r="E292">
        <v>5954.5</v>
      </c>
      <c r="F292">
        <f t="shared" si="9"/>
        <v>1.0158541446349889</v>
      </c>
    </row>
    <row r="293" spans="1:6">
      <c r="A293" s="2">
        <v>45719</v>
      </c>
      <c r="B293">
        <v>40.880172729492188</v>
      </c>
      <c r="C293">
        <f t="shared" si="8"/>
        <v>0.99859582403715541</v>
      </c>
      <c r="E293">
        <v>5849.72021484375</v>
      </c>
      <c r="F293">
        <f t="shared" si="9"/>
        <v>0.9824032605330002</v>
      </c>
    </row>
    <row r="294" spans="1:6">
      <c r="A294" s="2">
        <v>45720</v>
      </c>
      <c r="B294">
        <v>39.807151794433587</v>
      </c>
      <c r="C294">
        <f t="shared" si="8"/>
        <v>0.97375204497889778</v>
      </c>
      <c r="E294">
        <v>5778.14990234375</v>
      </c>
      <c r="F294">
        <f t="shared" si="9"/>
        <v>0.98776517339779957</v>
      </c>
    </row>
    <row r="295" spans="1:6">
      <c r="A295" s="2">
        <v>45721</v>
      </c>
      <c r="B295">
        <v>40.707725524902337</v>
      </c>
      <c r="C295">
        <f t="shared" si="8"/>
        <v>1.0226234153882539</v>
      </c>
      <c r="E295">
        <v>5842.6298828125</v>
      </c>
      <c r="F295">
        <f t="shared" si="9"/>
        <v>1.0111592778931879</v>
      </c>
    </row>
    <row r="296" spans="1:6">
      <c r="A296" s="2">
        <v>45722</v>
      </c>
      <c r="B296">
        <v>39.855052947998047</v>
      </c>
      <c r="C296">
        <f t="shared" si="8"/>
        <v>0.9790537897681687</v>
      </c>
      <c r="E296">
        <v>5738.52001953125</v>
      </c>
      <c r="F296">
        <f t="shared" si="9"/>
        <v>0.9821809929142501</v>
      </c>
    </row>
    <row r="297" spans="1:6">
      <c r="A297" s="2">
        <v>45723</v>
      </c>
      <c r="B297">
        <v>40.238273620605469</v>
      </c>
      <c r="C297">
        <f t="shared" si="8"/>
        <v>1.0096153597664879</v>
      </c>
      <c r="E297">
        <v>5770.2001953125</v>
      </c>
      <c r="F297">
        <f t="shared" si="9"/>
        <v>1.005520617802748</v>
      </c>
    </row>
    <row r="298" spans="1:6">
      <c r="A298" s="2">
        <v>45726</v>
      </c>
      <c r="B298">
        <v>40.889751434326172</v>
      </c>
      <c r="C298">
        <f t="shared" si="8"/>
        <v>1.0161905011100449</v>
      </c>
      <c r="E298">
        <v>5614.56005859375</v>
      </c>
      <c r="F298">
        <f t="shared" si="9"/>
        <v>0.9730269086945742</v>
      </c>
    </row>
    <row r="299" spans="1:6">
      <c r="A299" s="2">
        <v>45727</v>
      </c>
      <c r="B299">
        <v>40.525688171386719</v>
      </c>
      <c r="C299">
        <f t="shared" si="8"/>
        <v>0.99109646671430174</v>
      </c>
      <c r="E299">
        <v>5572.06982421875</v>
      </c>
      <c r="F299">
        <f t="shared" si="9"/>
        <v>0.99243213467634683</v>
      </c>
    </row>
    <row r="300" spans="1:6">
      <c r="A300" s="2">
        <v>45728</v>
      </c>
      <c r="B300">
        <v>40.755626678466797</v>
      </c>
      <c r="C300">
        <f t="shared" si="8"/>
        <v>1.0056738951873598</v>
      </c>
      <c r="E300">
        <v>5599.2998046875</v>
      </c>
      <c r="F300">
        <f t="shared" si="9"/>
        <v>1.0048868699294464</v>
      </c>
    </row>
    <row r="301" spans="1:6">
      <c r="A301" s="2">
        <v>45729</v>
      </c>
      <c r="B301">
        <v>40.765205383300781</v>
      </c>
      <c r="C301">
        <f t="shared" si="8"/>
        <v>1.0002350277891578</v>
      </c>
      <c r="E301">
        <v>5521.52001953125</v>
      </c>
      <c r="F301">
        <f t="shared" si="9"/>
        <v>0.98610901579316468</v>
      </c>
    </row>
    <row r="302" spans="1:6">
      <c r="A302" s="2">
        <v>45730</v>
      </c>
      <c r="B302">
        <v>41.033458709716797</v>
      </c>
      <c r="C302">
        <f t="shared" si="8"/>
        <v>1.0065804482988305</v>
      </c>
      <c r="E302">
        <v>5638.93994140625</v>
      </c>
      <c r="F302">
        <f t="shared" si="9"/>
        <v>1.0212658690830878</v>
      </c>
    </row>
    <row r="303" spans="1:6">
      <c r="A303" s="2">
        <v>45733</v>
      </c>
      <c r="B303">
        <v>41.67535400390625</v>
      </c>
      <c r="C303">
        <f t="shared" si="8"/>
        <v>1.015643216886259</v>
      </c>
      <c r="E303">
        <v>5675.1201171875</v>
      </c>
      <c r="F303">
        <f t="shared" si="9"/>
        <v>1.006416130719106</v>
      </c>
    </row>
    <row r="304" spans="1:6">
      <c r="A304" s="2">
        <v>45734</v>
      </c>
      <c r="B304">
        <v>41.589134216308587</v>
      </c>
      <c r="C304">
        <f t="shared" si="8"/>
        <v>0.9979311564434562</v>
      </c>
      <c r="E304">
        <v>5614.66015625</v>
      </c>
      <c r="F304">
        <f t="shared" si="9"/>
        <v>0.98934648788236346</v>
      </c>
    </row>
    <row r="305" spans="1:6">
      <c r="A305" s="2">
        <v>45735</v>
      </c>
      <c r="B305">
        <v>41.914871215820313</v>
      </c>
      <c r="C305">
        <f t="shared" si="8"/>
        <v>1.0078322620956124</v>
      </c>
      <c r="E305">
        <v>5675.2900390625</v>
      </c>
      <c r="F305">
        <f t="shared" si="9"/>
        <v>1.0107984955678946</v>
      </c>
    </row>
    <row r="306" spans="1:6">
      <c r="A306" s="2">
        <v>45736</v>
      </c>
      <c r="B306">
        <v>42.374732971191413</v>
      </c>
      <c r="C306">
        <f t="shared" si="8"/>
        <v>1.0109713269307989</v>
      </c>
      <c r="E306">
        <v>5662.89013671875</v>
      </c>
      <c r="F306">
        <f t="shared" si="9"/>
        <v>0.99781510684768482</v>
      </c>
    </row>
    <row r="307" spans="1:6">
      <c r="A307" s="2">
        <v>45737</v>
      </c>
      <c r="B307">
        <v>42.029834747314453</v>
      </c>
      <c r="C307">
        <f t="shared" si="8"/>
        <v>0.99186075758609638</v>
      </c>
      <c r="E307">
        <v>5667.56005859375</v>
      </c>
      <c r="F307">
        <f t="shared" si="9"/>
        <v>1.0008246534476661</v>
      </c>
    </row>
    <row r="308" spans="1:6">
      <c r="A308" s="2">
        <v>45740</v>
      </c>
      <c r="B308">
        <v>42.403476715087891</v>
      </c>
      <c r="C308">
        <f t="shared" si="8"/>
        <v>1.0088899223615746</v>
      </c>
      <c r="E308">
        <v>5767.56982421875</v>
      </c>
      <c r="F308">
        <f t="shared" si="9"/>
        <v>1.0176460001466336</v>
      </c>
    </row>
    <row r="309" spans="1:6">
      <c r="A309" s="2">
        <v>45741</v>
      </c>
      <c r="B309">
        <v>42.5567626953125</v>
      </c>
      <c r="C309">
        <f t="shared" si="8"/>
        <v>1.0036149389649003</v>
      </c>
      <c r="E309">
        <v>5776.64990234375</v>
      </c>
      <c r="F309">
        <f t="shared" si="9"/>
        <v>1.0015743334544251</v>
      </c>
    </row>
    <row r="310" spans="1:6">
      <c r="A310" s="2">
        <v>45742</v>
      </c>
      <c r="B310">
        <v>42.652572631835938</v>
      </c>
      <c r="C310">
        <f t="shared" si="8"/>
        <v>1.0022513445679455</v>
      </c>
      <c r="E310">
        <v>5712.2001953125</v>
      </c>
      <c r="F310">
        <f t="shared" si="9"/>
        <v>0.98884306507737285</v>
      </c>
    </row>
    <row r="311" spans="1:6">
      <c r="A311" s="2">
        <v>45743</v>
      </c>
      <c r="B311">
        <v>42.499282836914063</v>
      </c>
      <c r="C311">
        <f t="shared" si="8"/>
        <v>0.99640608325680546</v>
      </c>
      <c r="E311">
        <v>5693.31005859375</v>
      </c>
      <c r="F311">
        <f t="shared" si="9"/>
        <v>0.99669301913923614</v>
      </c>
    </row>
    <row r="312" spans="1:6">
      <c r="A312" s="2">
        <v>45744</v>
      </c>
      <c r="B312">
        <v>42.595088958740227</v>
      </c>
      <c r="C312">
        <f t="shared" si="8"/>
        <v>1.0022542997300403</v>
      </c>
      <c r="E312">
        <v>5580.93994140625</v>
      </c>
      <c r="F312">
        <f t="shared" si="9"/>
        <v>0.98026277929165595</v>
      </c>
    </row>
    <row r="313" spans="1:6">
      <c r="A313" s="2">
        <v>45747</v>
      </c>
      <c r="B313">
        <v>42.451377868652337</v>
      </c>
      <c r="C313">
        <f t="shared" si="8"/>
        <v>0.99662611128181711</v>
      </c>
      <c r="E313">
        <v>5611.85009765625</v>
      </c>
      <c r="F313">
        <f t="shared" si="9"/>
        <v>1.0055385215706534</v>
      </c>
    </row>
    <row r="314" spans="1:6">
      <c r="A314" s="2">
        <v>45748</v>
      </c>
      <c r="B314">
        <v>42.700473785400391</v>
      </c>
      <c r="C314">
        <f t="shared" si="8"/>
        <v>1.0058677934440379</v>
      </c>
      <c r="E314">
        <v>5633.06982421875</v>
      </c>
      <c r="F314">
        <f t="shared" si="9"/>
        <v>1.0037812354559084</v>
      </c>
    </row>
    <row r="315" spans="1:6">
      <c r="A315" s="2">
        <v>45749</v>
      </c>
      <c r="B315">
        <v>43.246566772460938</v>
      </c>
      <c r="C315">
        <f t="shared" si="8"/>
        <v>1.0127889210270837</v>
      </c>
      <c r="E315">
        <v>5670.97021484375</v>
      </c>
      <c r="F315">
        <f t="shared" si="9"/>
        <v>1.0067281947157927</v>
      </c>
    </row>
    <row r="316" spans="1:6">
      <c r="A316" s="2">
        <v>45750</v>
      </c>
      <c r="B316">
        <v>43.438175201416023</v>
      </c>
      <c r="C316">
        <f t="shared" si="8"/>
        <v>1.004430604398338</v>
      </c>
      <c r="E316">
        <v>5396.52001953125</v>
      </c>
      <c r="F316">
        <f t="shared" si="9"/>
        <v>0.95160436664009851</v>
      </c>
    </row>
    <row r="317" spans="1:6">
      <c r="A317" s="2">
        <v>45751</v>
      </c>
      <c r="B317">
        <v>41.531650543212891</v>
      </c>
      <c r="C317">
        <f t="shared" si="8"/>
        <v>0.95610946709057465</v>
      </c>
      <c r="E317">
        <v>5074.080078125</v>
      </c>
      <c r="F317">
        <f t="shared" si="9"/>
        <v>0.94025039465446891</v>
      </c>
    </row>
    <row r="318" spans="1:6">
      <c r="A318" s="2">
        <v>45754</v>
      </c>
      <c r="B318">
        <v>40.190372467041023</v>
      </c>
      <c r="C318">
        <f t="shared" si="8"/>
        <v>0.96770467682770533</v>
      </c>
      <c r="E318">
        <v>5062.25</v>
      </c>
      <c r="F318">
        <f t="shared" si="9"/>
        <v>0.9976685275078726</v>
      </c>
    </row>
    <row r="319" spans="1:6">
      <c r="A319" s="2">
        <v>45755</v>
      </c>
      <c r="B319">
        <v>39.366447448730469</v>
      </c>
      <c r="C319">
        <f t="shared" si="8"/>
        <v>0.97949944308214032</v>
      </c>
      <c r="E319">
        <v>4982.77001953125</v>
      </c>
      <c r="F319">
        <f t="shared" si="9"/>
        <v>0.98429947543705865</v>
      </c>
    </row>
    <row r="320" spans="1:6">
      <c r="A320" s="2">
        <v>45756</v>
      </c>
      <c r="B320">
        <v>40.017921447753913</v>
      </c>
      <c r="C320">
        <f t="shared" si="8"/>
        <v>1.0165489659657987</v>
      </c>
      <c r="E320">
        <v>5456.89990234375</v>
      </c>
      <c r="F320">
        <f t="shared" si="9"/>
        <v>1.0951538764490485</v>
      </c>
    </row>
    <row r="321" spans="1:6">
      <c r="A321" s="2">
        <v>45757</v>
      </c>
      <c r="B321">
        <v>40.065826416015618</v>
      </c>
      <c r="C321">
        <f t="shared" si="8"/>
        <v>1.0011970878678507</v>
      </c>
      <c r="E321">
        <v>5268.0498046875</v>
      </c>
      <c r="F321">
        <f t="shared" si="9"/>
        <v>0.96539242041527307</v>
      </c>
    </row>
    <row r="322" spans="1:6">
      <c r="A322" s="2">
        <v>45758</v>
      </c>
      <c r="B322">
        <v>41.426261901855469</v>
      </c>
      <c r="C322">
        <f t="shared" si="8"/>
        <v>1.0339550087327298</v>
      </c>
      <c r="E322">
        <v>5363.35986328125</v>
      </c>
      <c r="F322">
        <f t="shared" si="9"/>
        <v>1.018092095201709</v>
      </c>
    </row>
    <row r="323" spans="1:6">
      <c r="A323" s="2">
        <v>45761</v>
      </c>
      <c r="B323">
        <v>42.173545837402337</v>
      </c>
      <c r="C323">
        <f t="shared" si="8"/>
        <v>1.0180388937171616</v>
      </c>
      <c r="E323">
        <v>5405.97021484375</v>
      </c>
      <c r="F323">
        <f t="shared" si="9"/>
        <v>1.0079447123908689</v>
      </c>
    </row>
    <row r="324" spans="1:6">
      <c r="A324" s="2">
        <v>45762</v>
      </c>
      <c r="B324">
        <v>42.422637939453118</v>
      </c>
      <c r="C324">
        <f t="shared" ref="C324:C387" si="10">B324/B323</f>
        <v>1.0059063590007618</v>
      </c>
      <c r="E324">
        <v>5396.6298828125</v>
      </c>
      <c r="F324">
        <f t="shared" ref="F324:F387" si="11">E324/E323</f>
        <v>0.99827221910960529</v>
      </c>
    </row>
    <row r="325" spans="1:6">
      <c r="A325" s="2">
        <v>45763</v>
      </c>
      <c r="B325">
        <v>42.700473785400391</v>
      </c>
      <c r="C325">
        <f t="shared" si="10"/>
        <v>1.0065492354894057</v>
      </c>
      <c r="E325">
        <v>5275.7001953125</v>
      </c>
      <c r="F325">
        <f t="shared" si="11"/>
        <v>0.9775916284559103</v>
      </c>
    </row>
    <row r="326" spans="1:6">
      <c r="A326" s="2">
        <v>45764</v>
      </c>
      <c r="B326">
        <v>43.466915130615227</v>
      </c>
      <c r="C326">
        <f t="shared" si="10"/>
        <v>1.0179492468647242</v>
      </c>
      <c r="E326">
        <v>5282.7001953125</v>
      </c>
      <c r="F326">
        <f t="shared" si="11"/>
        <v>1.0013268380955802</v>
      </c>
    </row>
    <row r="327" spans="1:6">
      <c r="A327" s="2">
        <v>45768</v>
      </c>
      <c r="B327">
        <v>43.102855682373047</v>
      </c>
      <c r="C327">
        <f t="shared" si="10"/>
        <v>0.99162444707317721</v>
      </c>
      <c r="E327">
        <v>5158.2001953125</v>
      </c>
      <c r="F327">
        <f t="shared" si="11"/>
        <v>0.97643250697617245</v>
      </c>
    </row>
    <row r="328" spans="1:6">
      <c r="A328" s="2">
        <v>45769</v>
      </c>
      <c r="B328">
        <v>43.725589752197273</v>
      </c>
      <c r="C328">
        <f t="shared" si="10"/>
        <v>1.014447629048367</v>
      </c>
      <c r="E328">
        <v>5287.759765625</v>
      </c>
      <c r="F328">
        <f t="shared" si="11"/>
        <v>1.0251172047238952</v>
      </c>
    </row>
    <row r="329" spans="1:6">
      <c r="A329" s="2">
        <v>45770</v>
      </c>
      <c r="B329">
        <v>43.696849822998047</v>
      </c>
      <c r="C329">
        <f t="shared" si="10"/>
        <v>0.99934272060452245</v>
      </c>
      <c r="E329">
        <v>5375.85986328125</v>
      </c>
      <c r="F329">
        <f t="shared" si="11"/>
        <v>1.0166611384709601</v>
      </c>
    </row>
    <row r="330" spans="1:6">
      <c r="A330" s="2">
        <v>45771</v>
      </c>
      <c r="B330">
        <v>44.415390014648438</v>
      </c>
      <c r="C330">
        <f t="shared" si="10"/>
        <v>1.0164437526860852</v>
      </c>
      <c r="E330">
        <v>5484.77001953125</v>
      </c>
      <c r="F330">
        <f t="shared" si="11"/>
        <v>1.0202591137082813</v>
      </c>
    </row>
    <row r="331" spans="1:6">
      <c r="A331" s="2">
        <v>45772</v>
      </c>
      <c r="B331">
        <v>44.252521514892578</v>
      </c>
      <c r="C331">
        <f t="shared" si="10"/>
        <v>0.99633306158738799</v>
      </c>
      <c r="E331">
        <v>5525.2099609375</v>
      </c>
      <c r="F331">
        <f t="shared" si="11"/>
        <v>1.0073731334699985</v>
      </c>
    </row>
    <row r="332" spans="1:6">
      <c r="A332" s="2">
        <v>45775</v>
      </c>
      <c r="B332">
        <v>44.683643341064453</v>
      </c>
      <c r="C332">
        <f t="shared" si="10"/>
        <v>1.0097423109782973</v>
      </c>
      <c r="E332">
        <v>5528.75</v>
      </c>
      <c r="F332">
        <f t="shared" si="11"/>
        <v>1.0006407067039131</v>
      </c>
    </row>
    <row r="333" spans="1:6">
      <c r="A333" s="2">
        <v>45776</v>
      </c>
      <c r="B333">
        <v>44.683643341064453</v>
      </c>
      <c r="C333">
        <f t="shared" si="10"/>
        <v>1</v>
      </c>
      <c r="E333">
        <v>5560.830078125</v>
      </c>
      <c r="F333">
        <f t="shared" si="11"/>
        <v>1.005802410694099</v>
      </c>
    </row>
    <row r="334" spans="1:6">
      <c r="A334" s="2">
        <v>45777</v>
      </c>
      <c r="B334">
        <v>44.731548309326172</v>
      </c>
      <c r="C334">
        <f t="shared" si="10"/>
        <v>1.0010720918143596</v>
      </c>
      <c r="E334">
        <v>5569.06005859375</v>
      </c>
      <c r="F334">
        <f t="shared" si="11"/>
        <v>1.0014799913597656</v>
      </c>
    </row>
    <row r="335" spans="1:6">
      <c r="A335" s="2">
        <v>45778</v>
      </c>
      <c r="B335">
        <v>44.530357360839837</v>
      </c>
      <c r="C335">
        <f t="shared" si="10"/>
        <v>0.99550225833688866</v>
      </c>
      <c r="E335">
        <v>5604.14013671875</v>
      </c>
      <c r="F335">
        <f t="shared" si="11"/>
        <v>1.0062991021385856</v>
      </c>
    </row>
    <row r="336" spans="1:6">
      <c r="A336" s="2">
        <v>45779</v>
      </c>
      <c r="B336">
        <v>44.894416809082031</v>
      </c>
      <c r="C336">
        <f t="shared" si="10"/>
        <v>1.0081755339462501</v>
      </c>
      <c r="E336">
        <v>5686.669921875</v>
      </c>
      <c r="F336">
        <f t="shared" si="11"/>
        <v>1.0147265741296347</v>
      </c>
    </row>
    <row r="337" spans="1:6">
      <c r="A337" s="2">
        <v>45782</v>
      </c>
      <c r="B337">
        <v>44.6357421875</v>
      </c>
      <c r="C337">
        <f t="shared" si="10"/>
        <v>0.99423815610119026</v>
      </c>
      <c r="E337">
        <v>5650.3798828125</v>
      </c>
      <c r="F337">
        <f t="shared" si="11"/>
        <v>0.99361840241106614</v>
      </c>
    </row>
    <row r="338" spans="1:6">
      <c r="A338" s="2">
        <v>45783</v>
      </c>
      <c r="B338">
        <v>44.223781585693359</v>
      </c>
      <c r="C338">
        <f t="shared" si="10"/>
        <v>0.99077061158575275</v>
      </c>
      <c r="E338">
        <v>5606.91015625</v>
      </c>
      <c r="F338">
        <f t="shared" si="11"/>
        <v>0.99230676034814447</v>
      </c>
    </row>
    <row r="339" spans="1:6">
      <c r="A339" s="2">
        <v>45784</v>
      </c>
      <c r="B339">
        <v>44.731548309326172</v>
      </c>
      <c r="C339">
        <f t="shared" si="10"/>
        <v>1.0114817572226134</v>
      </c>
      <c r="E339">
        <v>5631.27978515625</v>
      </c>
      <c r="F339">
        <f t="shared" si="11"/>
        <v>1.0043463562331358</v>
      </c>
    </row>
    <row r="340" spans="1:6">
      <c r="A340" s="2">
        <v>45785</v>
      </c>
      <c r="B340">
        <v>43.859714508056641</v>
      </c>
      <c r="C340">
        <f t="shared" si="10"/>
        <v>0.98050964399352658</v>
      </c>
      <c r="E340">
        <v>5663.93994140625</v>
      </c>
      <c r="F340">
        <f t="shared" si="11"/>
        <v>1.0057997750948355</v>
      </c>
    </row>
    <row r="341" spans="1:6">
      <c r="A341" s="2">
        <v>45786</v>
      </c>
      <c r="B341">
        <v>44.166294097900391</v>
      </c>
      <c r="C341">
        <f t="shared" si="10"/>
        <v>1.0069900042278532</v>
      </c>
      <c r="E341">
        <v>5659.91015625</v>
      </c>
      <c r="F341">
        <f t="shared" si="11"/>
        <v>0.99928851908778371</v>
      </c>
    </row>
    <row r="342" spans="1:6">
      <c r="A342" s="2">
        <v>45789</v>
      </c>
      <c r="B342">
        <v>42.681312561035163</v>
      </c>
      <c r="C342">
        <f t="shared" si="10"/>
        <v>0.96637749290050079</v>
      </c>
      <c r="E342">
        <v>5844.18994140625</v>
      </c>
      <c r="F342">
        <f t="shared" si="11"/>
        <v>1.0325587827490084</v>
      </c>
    </row>
    <row r="343" spans="1:6">
      <c r="A343" s="2">
        <v>45790</v>
      </c>
      <c r="B343">
        <v>42.700473785400391</v>
      </c>
      <c r="C343">
        <f t="shared" si="10"/>
        <v>1.0004489370924998</v>
      </c>
      <c r="E343">
        <v>5886.5498046875</v>
      </c>
      <c r="F343">
        <f t="shared" si="11"/>
        <v>1.0072482009835322</v>
      </c>
    </row>
    <row r="344" spans="1:6">
      <c r="A344" s="2">
        <v>45791</v>
      </c>
      <c r="B344">
        <v>42.987888336181641</v>
      </c>
      <c r="C344">
        <f t="shared" si="10"/>
        <v>1.0067309452402264</v>
      </c>
      <c r="E344">
        <v>5892.580078125</v>
      </c>
      <c r="F344">
        <f t="shared" si="11"/>
        <v>1.0010244155978598</v>
      </c>
    </row>
    <row r="345" spans="1:6">
      <c r="A345" s="2">
        <v>45792</v>
      </c>
      <c r="B345">
        <v>43.698028564453118</v>
      </c>
      <c r="C345">
        <f t="shared" si="10"/>
        <v>1.0165195420328141</v>
      </c>
      <c r="E345">
        <v>5916.93017578125</v>
      </c>
      <c r="F345">
        <f t="shared" si="11"/>
        <v>1.0041323320741358</v>
      </c>
    </row>
    <row r="346" spans="1:6">
      <c r="A346" s="2">
        <v>45793</v>
      </c>
      <c r="B346">
        <v>43.629932403564453</v>
      </c>
      <c r="C346">
        <f t="shared" si="10"/>
        <v>0.99844166514770283</v>
      </c>
      <c r="E346">
        <v>5958.3798828125</v>
      </c>
      <c r="F346">
        <f t="shared" si="11"/>
        <v>1.0070052722948986</v>
      </c>
    </row>
    <row r="347" spans="1:6">
      <c r="A347" s="2">
        <v>45796</v>
      </c>
      <c r="B347">
        <v>43.717487335205078</v>
      </c>
      <c r="C347">
        <f t="shared" si="10"/>
        <v>1.0020067629450069</v>
      </c>
      <c r="E347">
        <v>5963.60009765625</v>
      </c>
      <c r="F347">
        <f t="shared" si="11"/>
        <v>1.0008761131291424</v>
      </c>
    </row>
    <row r="348" spans="1:6">
      <c r="A348" s="2">
        <v>45797</v>
      </c>
      <c r="B348">
        <v>44.3692626953125</v>
      </c>
      <c r="C348">
        <f t="shared" si="10"/>
        <v>1.0149088019425709</v>
      </c>
      <c r="E348">
        <v>5940.4599609375</v>
      </c>
      <c r="F348">
        <f t="shared" si="11"/>
        <v>0.99611977055137479</v>
      </c>
    </row>
    <row r="349" spans="1:6">
      <c r="A349" s="2">
        <v>45798</v>
      </c>
      <c r="B349">
        <v>44.330348968505859</v>
      </c>
      <c r="C349">
        <f t="shared" si="10"/>
        <v>0.99912295755117986</v>
      </c>
      <c r="E349">
        <v>5844.60986328125</v>
      </c>
      <c r="F349">
        <f t="shared" si="11"/>
        <v>0.98386486933898576</v>
      </c>
    </row>
    <row r="350" spans="1:6">
      <c r="A350" s="2">
        <v>45799</v>
      </c>
      <c r="B350">
        <v>43.941226959228523</v>
      </c>
      <c r="C350">
        <f t="shared" si="10"/>
        <v>0.99122222093144841</v>
      </c>
      <c r="E350">
        <v>5842.009765625</v>
      </c>
      <c r="F350">
        <f t="shared" si="11"/>
        <v>0.999555128962057</v>
      </c>
    </row>
    <row r="351" spans="1:6">
      <c r="A351" s="2">
        <v>45800</v>
      </c>
      <c r="B351">
        <v>44.807022094726563</v>
      </c>
      <c r="C351">
        <f t="shared" si="10"/>
        <v>1.0197034811135652</v>
      </c>
      <c r="E351">
        <v>5802.81982421875</v>
      </c>
      <c r="F351">
        <f t="shared" si="11"/>
        <v>0.99329170217467833</v>
      </c>
    </row>
    <row r="352" spans="1:6">
      <c r="A352" s="2">
        <v>45804</v>
      </c>
      <c r="B352">
        <v>44.787563323974609</v>
      </c>
      <c r="C352">
        <f t="shared" si="10"/>
        <v>0.99956572050892345</v>
      </c>
      <c r="E352">
        <v>5921.5400390625</v>
      </c>
      <c r="F352">
        <f t="shared" si="11"/>
        <v>1.0204590558452733</v>
      </c>
    </row>
    <row r="353" spans="1:6">
      <c r="A353" s="2">
        <v>45805</v>
      </c>
      <c r="B353">
        <v>44.330348968505859</v>
      </c>
      <c r="C353">
        <f t="shared" si="10"/>
        <v>0.98979148849511078</v>
      </c>
      <c r="E353">
        <v>5888.5498046875</v>
      </c>
      <c r="F353">
        <f t="shared" si="11"/>
        <v>0.99442877458273116</v>
      </c>
    </row>
    <row r="354" spans="1:6">
      <c r="A354" s="2">
        <v>45806</v>
      </c>
      <c r="B354">
        <v>44.602729797363281</v>
      </c>
      <c r="C354">
        <f t="shared" si="10"/>
        <v>1.0061443420860714</v>
      </c>
      <c r="E354">
        <v>5912.169921875</v>
      </c>
      <c r="F354">
        <f t="shared" si="11"/>
        <v>1.0040111942619043</v>
      </c>
    </row>
    <row r="355" spans="1:6">
      <c r="A355" s="2">
        <v>45807</v>
      </c>
      <c r="B355">
        <v>45.215595245361328</v>
      </c>
      <c r="C355">
        <f t="shared" si="10"/>
        <v>1.0137405367515033</v>
      </c>
      <c r="E355">
        <v>5911.68994140625</v>
      </c>
      <c r="F355">
        <f t="shared" si="11"/>
        <v>0.99991881483869838</v>
      </c>
    </row>
    <row r="356" spans="1:6">
      <c r="A356" s="2">
        <v>45810</v>
      </c>
      <c r="B356">
        <v>45.877098083496087</v>
      </c>
      <c r="C356">
        <f t="shared" si="10"/>
        <v>1.0146299707997899</v>
      </c>
      <c r="E356">
        <v>5935.93994140625</v>
      </c>
      <c r="F356">
        <f t="shared" si="11"/>
        <v>1.0041020419271569</v>
      </c>
    </row>
    <row r="357" spans="1:6">
      <c r="A357" s="2">
        <v>45811</v>
      </c>
      <c r="B357">
        <v>45.789546966552727</v>
      </c>
      <c r="C357">
        <f t="shared" si="10"/>
        <v>0.99809161606551455</v>
      </c>
      <c r="E357">
        <v>5970.3701171875</v>
      </c>
      <c r="F357">
        <f t="shared" si="11"/>
        <v>1.0058002904546055</v>
      </c>
    </row>
    <row r="358" spans="1:6">
      <c r="A358" s="2">
        <v>45812</v>
      </c>
      <c r="B358">
        <v>45.390697479248047</v>
      </c>
      <c r="C358">
        <f t="shared" si="10"/>
        <v>0.9912895078958518</v>
      </c>
      <c r="E358">
        <v>5970.81005859375</v>
      </c>
      <c r="F358">
        <f t="shared" si="11"/>
        <v>1.0000736874595066</v>
      </c>
    </row>
    <row r="359" spans="1:6">
      <c r="A359" s="2">
        <v>45813</v>
      </c>
      <c r="B359">
        <v>45.594985961914063</v>
      </c>
      <c r="C359">
        <f t="shared" si="10"/>
        <v>1.0045006685072291</v>
      </c>
      <c r="E359">
        <v>5939.2998046875</v>
      </c>
      <c r="F359">
        <f t="shared" si="11"/>
        <v>0.99472261659690586</v>
      </c>
    </row>
    <row r="360" spans="1:6">
      <c r="A360" s="2">
        <v>45814</v>
      </c>
      <c r="B360">
        <v>45.254505157470703</v>
      </c>
      <c r="C360">
        <f t="shared" si="10"/>
        <v>0.99253249458772141</v>
      </c>
      <c r="E360">
        <v>6000.35986328125</v>
      </c>
      <c r="F360">
        <f t="shared" si="11"/>
        <v>1.0102806830100679</v>
      </c>
    </row>
    <row r="361" spans="1:6">
      <c r="A361" s="2">
        <v>45817</v>
      </c>
      <c r="B361">
        <v>44.573551177978523</v>
      </c>
      <c r="C361">
        <f t="shared" si="10"/>
        <v>0.98495279139341629</v>
      </c>
      <c r="E361">
        <v>6005.8798828125</v>
      </c>
      <c r="F361">
        <f t="shared" si="11"/>
        <v>1.0009199480792859</v>
      </c>
    </row>
    <row r="362" spans="1:6">
      <c r="A362" s="2">
        <v>45818</v>
      </c>
      <c r="B362">
        <v>44.602729797363281</v>
      </c>
      <c r="C362">
        <f t="shared" si="10"/>
        <v>1.0006546173372692</v>
      </c>
      <c r="E362">
        <v>6038.81005859375</v>
      </c>
      <c r="F362">
        <f t="shared" si="11"/>
        <v>1.0054829894076784</v>
      </c>
    </row>
    <row r="363" spans="1:6">
      <c r="A363" s="2">
        <v>45819</v>
      </c>
      <c r="B363">
        <v>44.622188568115227</v>
      </c>
      <c r="C363">
        <f t="shared" si="10"/>
        <v>1.0004362686059878</v>
      </c>
      <c r="E363">
        <v>6022.240234375</v>
      </c>
      <c r="F363">
        <f t="shared" si="11"/>
        <v>0.99725611104539214</v>
      </c>
    </row>
    <row r="364" spans="1:6">
      <c r="A364" s="2">
        <v>45820</v>
      </c>
      <c r="B364">
        <v>45.53662109375</v>
      </c>
      <c r="C364">
        <f t="shared" si="10"/>
        <v>1.0204927762393121</v>
      </c>
      <c r="E364">
        <v>6045.259765625</v>
      </c>
      <c r="F364">
        <f t="shared" si="11"/>
        <v>1.0038224199557175</v>
      </c>
    </row>
    <row r="365" spans="1:6">
      <c r="A365" s="2">
        <v>45821</v>
      </c>
      <c r="B365">
        <v>45.400424957275391</v>
      </c>
      <c r="C365">
        <f t="shared" si="10"/>
        <v>0.99700908558423318</v>
      </c>
      <c r="E365">
        <v>5976.97021484375</v>
      </c>
      <c r="F365">
        <f t="shared" si="11"/>
        <v>0.9887036201207493</v>
      </c>
    </row>
    <row r="366" spans="1:6">
      <c r="A366" s="2">
        <v>45824</v>
      </c>
      <c r="B366">
        <v>44.709739685058587</v>
      </c>
      <c r="C366">
        <f t="shared" si="10"/>
        <v>0.98478681041274874</v>
      </c>
      <c r="E366">
        <v>6033.10986328125</v>
      </c>
      <c r="F366">
        <f t="shared" si="11"/>
        <v>1.0093926598961591</v>
      </c>
    </row>
    <row r="367" spans="1:6">
      <c r="A367" s="2">
        <v>45825</v>
      </c>
      <c r="B367">
        <v>44.719467163085938</v>
      </c>
      <c r="C367">
        <f t="shared" si="10"/>
        <v>1.0002175695518667</v>
      </c>
      <c r="E367">
        <v>5982.72021484375</v>
      </c>
      <c r="F367">
        <f t="shared" si="11"/>
        <v>0.99164781520983369</v>
      </c>
    </row>
    <row r="368" spans="1:6">
      <c r="A368" s="2">
        <v>45826</v>
      </c>
      <c r="B368">
        <v>43.756397247314453</v>
      </c>
      <c r="C368">
        <f t="shared" si="10"/>
        <v>0.97846419072348745</v>
      </c>
      <c r="E368">
        <v>5980.8701171875</v>
      </c>
      <c r="F368">
        <f t="shared" si="11"/>
        <v>0.99969075978989297</v>
      </c>
    </row>
    <row r="369" spans="1:6">
      <c r="A369" s="2">
        <v>45828</v>
      </c>
      <c r="B369">
        <v>43.561840057373047</v>
      </c>
      <c r="C369">
        <f t="shared" si="10"/>
        <v>0.9955536286764709</v>
      </c>
      <c r="E369">
        <v>5967.83984375</v>
      </c>
      <c r="F369">
        <f t="shared" si="11"/>
        <v>0.99782134151349411</v>
      </c>
    </row>
    <row r="370" spans="1:6">
      <c r="A370" s="2">
        <v>45831</v>
      </c>
      <c r="B370">
        <v>43.707759857177727</v>
      </c>
      <c r="C370">
        <f t="shared" si="10"/>
        <v>1.0033497161647096</v>
      </c>
      <c r="E370">
        <v>6025.169921875</v>
      </c>
      <c r="F370">
        <f t="shared" si="11"/>
        <v>1.0096065041331563</v>
      </c>
    </row>
    <row r="371" spans="1:6">
      <c r="A371" s="2">
        <v>45832</v>
      </c>
      <c r="B371">
        <v>43.814765930175781</v>
      </c>
      <c r="C371">
        <f t="shared" si="10"/>
        <v>1.0024482168234592</v>
      </c>
      <c r="E371">
        <v>6092.18017578125</v>
      </c>
      <c r="F371">
        <f t="shared" si="11"/>
        <v>1.0111217201797018</v>
      </c>
    </row>
    <row r="372" spans="1:6">
      <c r="A372" s="2">
        <v>45833</v>
      </c>
      <c r="B372">
        <v>43.270000457763672</v>
      </c>
      <c r="C372">
        <f t="shared" si="10"/>
        <v>0.98756662369758497</v>
      </c>
      <c r="E372">
        <v>6092.16015625</v>
      </c>
      <c r="F372">
        <f t="shared" si="11"/>
        <v>0.99999671389704958</v>
      </c>
    </row>
    <row r="373" spans="1:6">
      <c r="A373" s="2">
        <v>45834</v>
      </c>
      <c r="B373">
        <v>43.853683471679688</v>
      </c>
      <c r="C373">
        <f t="shared" si="10"/>
        <v>1.0134893230353847</v>
      </c>
      <c r="E373">
        <v>6141.02001953125</v>
      </c>
      <c r="F373">
        <f t="shared" si="11"/>
        <v>1.0080201212752302</v>
      </c>
    </row>
    <row r="374" spans="1:6">
      <c r="A374" s="2">
        <v>45835</v>
      </c>
      <c r="B374">
        <v>43.561840057373047</v>
      </c>
      <c r="C374">
        <f t="shared" si="10"/>
        <v>0.99334506497053754</v>
      </c>
      <c r="E374">
        <v>6173.06982421875</v>
      </c>
      <c r="F374">
        <f t="shared" si="11"/>
        <v>1.0052189708852222</v>
      </c>
    </row>
    <row r="375" spans="1:6">
      <c r="A375" s="2">
        <v>45838</v>
      </c>
      <c r="B375">
        <v>44.087150573730469</v>
      </c>
      <c r="C375">
        <f t="shared" si="10"/>
        <v>1.0120589606790154</v>
      </c>
      <c r="E375">
        <v>6204.9501953125</v>
      </c>
      <c r="F375">
        <f t="shared" si="11"/>
        <v>1.0051644274245326</v>
      </c>
    </row>
    <row r="376" spans="1:6">
      <c r="A376" s="2">
        <v>45839</v>
      </c>
      <c r="B376">
        <v>43.698028564453118</v>
      </c>
      <c r="C376">
        <f t="shared" si="10"/>
        <v>0.99117379997996036</v>
      </c>
      <c r="E376">
        <v>6198.009765625</v>
      </c>
      <c r="F376">
        <f t="shared" si="11"/>
        <v>0.9988814689128781</v>
      </c>
    </row>
    <row r="377" spans="1:6">
      <c r="A377" s="2">
        <v>45840</v>
      </c>
      <c r="B377">
        <v>43.561840057373047</v>
      </c>
      <c r="C377">
        <f t="shared" si="10"/>
        <v>0.99688341759218735</v>
      </c>
      <c r="E377">
        <v>6227.419921875</v>
      </c>
      <c r="F377">
        <f t="shared" si="11"/>
        <v>1.004745096791088</v>
      </c>
    </row>
    <row r="378" spans="1:6">
      <c r="A378" s="2">
        <v>45841</v>
      </c>
      <c r="B378">
        <v>43.522930145263672</v>
      </c>
      <c r="C378">
        <f t="shared" si="10"/>
        <v>0.99910678905991734</v>
      </c>
      <c r="E378">
        <v>6279.35009765625</v>
      </c>
      <c r="F378">
        <f t="shared" si="11"/>
        <v>1.0083389552066073</v>
      </c>
    </row>
    <row r="379" spans="1:6">
      <c r="A379" s="2">
        <v>45845</v>
      </c>
      <c r="B379">
        <v>42.948982238769531</v>
      </c>
      <c r="C379">
        <f t="shared" si="10"/>
        <v>0.98681274664691665</v>
      </c>
      <c r="E379">
        <v>6229.97998046875</v>
      </c>
      <c r="F379">
        <f t="shared" si="11"/>
        <v>0.99213770272087121</v>
      </c>
    </row>
    <row r="380" spans="1:6">
      <c r="A380" s="2">
        <v>45846</v>
      </c>
      <c r="B380">
        <v>42.99761962890625</v>
      </c>
      <c r="C380">
        <f t="shared" si="10"/>
        <v>1.0011324456972304</v>
      </c>
      <c r="E380">
        <v>6225.52001953125</v>
      </c>
      <c r="F380">
        <f t="shared" si="11"/>
        <v>0.9992841131189053</v>
      </c>
    </row>
    <row r="381" spans="1:6">
      <c r="A381" s="2">
        <v>45847</v>
      </c>
      <c r="B381">
        <v>42.598773956298828</v>
      </c>
      <c r="C381">
        <f t="shared" si="10"/>
        <v>0.99072400574613928</v>
      </c>
      <c r="E381">
        <v>6263.259765625</v>
      </c>
      <c r="F381">
        <f t="shared" si="11"/>
        <v>1.0060621034026636</v>
      </c>
    </row>
    <row r="382" spans="1:6">
      <c r="A382" s="2">
        <v>45848</v>
      </c>
      <c r="B382">
        <v>43.279731750488281</v>
      </c>
      <c r="C382">
        <f t="shared" si="10"/>
        <v>1.0159853848114979</v>
      </c>
      <c r="E382">
        <v>6280.4599609375</v>
      </c>
      <c r="F382">
        <f t="shared" si="11"/>
        <v>1.0027462050044453</v>
      </c>
    </row>
    <row r="383" spans="1:6">
      <c r="A383" s="2">
        <v>45849</v>
      </c>
      <c r="B383">
        <v>43.338096618652337</v>
      </c>
      <c r="C383">
        <f t="shared" si="10"/>
        <v>1.0013485496744881</v>
      </c>
      <c r="E383">
        <v>6259.75</v>
      </c>
      <c r="F383">
        <f t="shared" si="11"/>
        <v>0.99670247703730153</v>
      </c>
    </row>
    <row r="384" spans="1:6">
      <c r="A384" s="2">
        <v>45852</v>
      </c>
      <c r="B384">
        <v>43.980144500732422</v>
      </c>
      <c r="C384">
        <f t="shared" si="10"/>
        <v>1.0148148611077616</v>
      </c>
      <c r="E384">
        <v>6268.56005859375</v>
      </c>
      <c r="F384">
        <f t="shared" si="11"/>
        <v>1.0014074138094573</v>
      </c>
    </row>
    <row r="385" spans="1:6">
      <c r="A385" s="2">
        <v>45853</v>
      </c>
      <c r="B385">
        <v>44.03851318359375</v>
      </c>
      <c r="C385">
        <f t="shared" si="10"/>
        <v>1.0013271598700717</v>
      </c>
      <c r="E385">
        <v>6243.759765625</v>
      </c>
      <c r="F385">
        <f t="shared" si="11"/>
        <v>0.9960437017852688</v>
      </c>
    </row>
    <row r="386" spans="1:6">
      <c r="A386" s="2">
        <v>45854</v>
      </c>
      <c r="B386">
        <v>44.019054412841797</v>
      </c>
      <c r="C386">
        <f t="shared" si="10"/>
        <v>0.99955814196835324</v>
      </c>
      <c r="E386">
        <v>6263.7001953125</v>
      </c>
      <c r="F386">
        <f t="shared" si="11"/>
        <v>1.0031936574173277</v>
      </c>
    </row>
    <row r="387" spans="1:6">
      <c r="A387" s="2">
        <v>45855</v>
      </c>
      <c r="B387">
        <v>43.542385101318359</v>
      </c>
      <c r="C387">
        <f t="shared" si="10"/>
        <v>0.98917129597894371</v>
      </c>
      <c r="E387">
        <v>6297.35986328125</v>
      </c>
      <c r="F387">
        <f t="shared" si="11"/>
        <v>1.0053737674089094</v>
      </c>
    </row>
    <row r="388" spans="1:6">
      <c r="A388" s="2">
        <v>45856</v>
      </c>
      <c r="B388">
        <v>43.863410949707031</v>
      </c>
      <c r="C388">
        <f t="shared" ref="C388:C451" si="12">B388/B387</f>
        <v>1.0073727208016208</v>
      </c>
      <c r="E388">
        <v>6296.7900390625</v>
      </c>
      <c r="F388">
        <f t="shared" ref="F388:F451" si="13">E388/E387</f>
        <v>0.99990951379131554</v>
      </c>
    </row>
    <row r="389" spans="1:6">
      <c r="A389" s="2">
        <v>45859</v>
      </c>
      <c r="B389">
        <v>43.377010345458977</v>
      </c>
      <c r="C389">
        <f t="shared" si="12"/>
        <v>0.98891101732134434</v>
      </c>
      <c r="E389">
        <v>6305.60009765625</v>
      </c>
      <c r="F389">
        <f t="shared" si="13"/>
        <v>1.0013991348828684</v>
      </c>
    </row>
    <row r="390" spans="1:6">
      <c r="A390" s="2">
        <v>45860</v>
      </c>
      <c r="B390">
        <v>43.970417022705078</v>
      </c>
      <c r="C390">
        <f t="shared" si="12"/>
        <v>1.0136802115341779</v>
      </c>
      <c r="E390">
        <v>6309.6201171875</v>
      </c>
      <c r="F390">
        <f t="shared" si="13"/>
        <v>1.0006375316336258</v>
      </c>
    </row>
    <row r="391" spans="1:6">
      <c r="A391" s="2">
        <v>45861</v>
      </c>
      <c r="B391">
        <v>44.2427978515625</v>
      </c>
      <c r="C391">
        <f t="shared" si="12"/>
        <v>1.0061946382886651</v>
      </c>
      <c r="E391">
        <v>6358.91015625</v>
      </c>
      <c r="F391">
        <f t="shared" si="13"/>
        <v>1.0078118869515191</v>
      </c>
    </row>
    <row r="392" spans="1:6">
      <c r="A392" s="2">
        <v>45862</v>
      </c>
      <c r="B392">
        <v>44.223342895507813</v>
      </c>
      <c r="C392">
        <f t="shared" si="12"/>
        <v>0.99956026840526768</v>
      </c>
      <c r="E392">
        <v>6363.35009765625</v>
      </c>
      <c r="F392">
        <f t="shared" si="13"/>
        <v>1.0006982236416544</v>
      </c>
    </row>
    <row r="393" spans="1:6">
      <c r="A393" s="2">
        <v>45863</v>
      </c>
      <c r="B393">
        <v>43.746669769287109</v>
      </c>
      <c r="C393">
        <f t="shared" si="12"/>
        <v>0.98922123261131567</v>
      </c>
      <c r="E393">
        <v>6388.64013671875</v>
      </c>
      <c r="F393">
        <f t="shared" si="13"/>
        <v>1.0039743277792958</v>
      </c>
    </row>
    <row r="394" spans="1:6">
      <c r="A394" s="2">
        <v>45866</v>
      </c>
      <c r="B394">
        <v>43.415920257568359</v>
      </c>
      <c r="C394">
        <f t="shared" si="12"/>
        <v>0.99243943565388937</v>
      </c>
      <c r="E394">
        <v>6389.77001953125</v>
      </c>
      <c r="F394">
        <f t="shared" si="13"/>
        <v>1.0001768581088182</v>
      </c>
    </row>
    <row r="395" spans="1:6">
      <c r="A395" s="2">
        <v>45867</v>
      </c>
      <c r="B395">
        <v>43.853683471679688</v>
      </c>
      <c r="C395">
        <f t="shared" si="12"/>
        <v>1.0100830112897357</v>
      </c>
      <c r="E395">
        <v>6370.85986328125</v>
      </c>
      <c r="F395">
        <f t="shared" si="13"/>
        <v>0.99704055761127575</v>
      </c>
    </row>
    <row r="396" spans="1:6">
      <c r="A396" s="2">
        <v>45868</v>
      </c>
      <c r="B396">
        <v>43.756397247314453</v>
      </c>
      <c r="C396">
        <f t="shared" si="12"/>
        <v>0.99778157234094</v>
      </c>
      <c r="E396">
        <v>6362.89990234375</v>
      </c>
      <c r="F396">
        <f t="shared" si="13"/>
        <v>0.99875056725335032</v>
      </c>
    </row>
    <row r="397" spans="1:6">
      <c r="A397" s="2">
        <v>45869</v>
      </c>
      <c r="B397">
        <v>44.057968139648438</v>
      </c>
      <c r="C397">
        <f t="shared" si="12"/>
        <v>1.006892041194102</v>
      </c>
      <c r="E397">
        <v>6339.39013671875</v>
      </c>
      <c r="F397">
        <f t="shared" si="13"/>
        <v>0.99630518065884699</v>
      </c>
    </row>
    <row r="398" spans="1:6">
      <c r="A398" s="2">
        <v>45870</v>
      </c>
      <c r="B398">
        <v>44.943214416503913</v>
      </c>
      <c r="C398">
        <f t="shared" si="12"/>
        <v>1.0200927622002347</v>
      </c>
      <c r="E398">
        <v>6238.009765625</v>
      </c>
      <c r="F398">
        <f t="shared" si="13"/>
        <v>0.98400786685985153</v>
      </c>
    </row>
    <row r="399" spans="1:6">
      <c r="A399" s="2">
        <v>45873</v>
      </c>
      <c r="B399">
        <v>45.351787567138672</v>
      </c>
      <c r="C399">
        <f t="shared" si="12"/>
        <v>1.0090908751396457</v>
      </c>
      <c r="E399">
        <v>6329.93994140625</v>
      </c>
      <c r="F399">
        <f t="shared" si="13"/>
        <v>1.014737100330916</v>
      </c>
    </row>
    <row r="400" spans="1:6">
      <c r="A400" s="2">
        <v>45874</v>
      </c>
      <c r="B400">
        <v>45.468524932861328</v>
      </c>
      <c r="C400">
        <f t="shared" si="12"/>
        <v>1.0025740411124884</v>
      </c>
      <c r="E400">
        <v>6299.18994140625</v>
      </c>
      <c r="F400">
        <f t="shared" si="13"/>
        <v>0.99514213400369667</v>
      </c>
    </row>
    <row r="401" spans="1:6">
      <c r="A401" s="2">
        <v>45875</v>
      </c>
      <c r="B401">
        <v>45.731178283691413</v>
      </c>
      <c r="C401">
        <f t="shared" si="12"/>
        <v>1.0057765971343455</v>
      </c>
      <c r="E401">
        <v>6345.06005859375</v>
      </c>
      <c r="F401">
        <f t="shared" si="13"/>
        <v>1.0072819072950925</v>
      </c>
    </row>
    <row r="402" spans="1:6">
      <c r="A402" s="2">
        <v>45876</v>
      </c>
      <c r="B402">
        <v>45.799274444580078</v>
      </c>
      <c r="C402">
        <f t="shared" si="12"/>
        <v>1.0014890532770933</v>
      </c>
      <c r="E402">
        <v>6340</v>
      </c>
      <c r="F402">
        <f t="shared" si="13"/>
        <v>0.99920251998451981</v>
      </c>
    </row>
    <row r="403" spans="1:6">
      <c r="A403" s="2">
        <v>45877</v>
      </c>
      <c r="B403">
        <v>45.711723327636719</v>
      </c>
      <c r="C403">
        <f t="shared" si="12"/>
        <v>0.99808837327653954</v>
      </c>
      <c r="E403">
        <v>6389.4501953125</v>
      </c>
      <c r="F403">
        <f t="shared" si="13"/>
        <v>1.0077997153489748</v>
      </c>
    </row>
    <row r="404" spans="1:6">
      <c r="A404" s="2">
        <v>45880</v>
      </c>
      <c r="B404">
        <v>46.198123931884773</v>
      </c>
      <c r="C404">
        <f t="shared" si="12"/>
        <v>1.0106406096475908</v>
      </c>
      <c r="E404">
        <v>6373.4501953125</v>
      </c>
      <c r="F404">
        <f t="shared" si="13"/>
        <v>0.99749587217821367</v>
      </c>
    </row>
    <row r="405" spans="1:6">
      <c r="A405" s="2">
        <v>45881</v>
      </c>
      <c r="B405">
        <v>46.032741546630859</v>
      </c>
      <c r="C405">
        <f t="shared" si="12"/>
        <v>0.99642014932256218</v>
      </c>
      <c r="E405">
        <v>6445.759765625</v>
      </c>
      <c r="F405">
        <f t="shared" si="13"/>
        <v>1.0113454358466127</v>
      </c>
    </row>
    <row r="406" spans="1:6">
      <c r="A406" s="2">
        <v>45882</v>
      </c>
      <c r="B406">
        <v>46.382953643798828</v>
      </c>
      <c r="C406">
        <f t="shared" si="12"/>
        <v>1.0076078913703892</v>
      </c>
      <c r="E406">
        <v>6466.580078125</v>
      </c>
      <c r="F406">
        <f t="shared" si="13"/>
        <v>1.0032300788824049</v>
      </c>
    </row>
    <row r="407" spans="1:6">
      <c r="A407" s="2">
        <v>45883</v>
      </c>
      <c r="B407">
        <v>46.869350433349609</v>
      </c>
      <c r="C407">
        <f t="shared" si="12"/>
        <v>1.0104865419586277</v>
      </c>
      <c r="E407">
        <v>6468.5400390625</v>
      </c>
      <c r="F407">
        <f t="shared" si="13"/>
        <v>1.0003030908012924</v>
      </c>
    </row>
    <row r="408" spans="1:6">
      <c r="A408" s="2">
        <v>45884</v>
      </c>
      <c r="B408">
        <v>46.418388366699219</v>
      </c>
      <c r="C408">
        <f t="shared" si="12"/>
        <v>0.99037831626679618</v>
      </c>
      <c r="E408">
        <v>6449.7998046875</v>
      </c>
      <c r="F408">
        <f t="shared" si="13"/>
        <v>0.99710286490277089</v>
      </c>
    </row>
    <row r="409" spans="1:6">
      <c r="A409" s="2">
        <v>45887</v>
      </c>
      <c r="B409">
        <v>46.053276062011719</v>
      </c>
      <c r="C409">
        <f t="shared" si="12"/>
        <v>0.99213431750789882</v>
      </c>
      <c r="E409">
        <v>6449.14990234375</v>
      </c>
      <c r="F409">
        <f t="shared" si="13"/>
        <v>0.99989923681921455</v>
      </c>
    </row>
    <row r="410" spans="1:6">
      <c r="A410" s="2">
        <v>45888</v>
      </c>
      <c r="B410">
        <v>46.56640625</v>
      </c>
      <c r="C410">
        <f t="shared" si="12"/>
        <v>1.0111420995826081</v>
      </c>
      <c r="E410">
        <v>6411.3701171875</v>
      </c>
      <c r="F410">
        <f t="shared" si="13"/>
        <v>0.99414189688124321</v>
      </c>
    </row>
    <row r="411" spans="1:6">
      <c r="A411" s="2">
        <v>45889</v>
      </c>
      <c r="B411">
        <v>47.395305633544922</v>
      </c>
      <c r="C411">
        <f t="shared" si="12"/>
        <v>1.0178003726354752</v>
      </c>
      <c r="E411">
        <v>6395.77978515625</v>
      </c>
      <c r="F411">
        <f t="shared" si="13"/>
        <v>0.99756833067717376</v>
      </c>
    </row>
    <row r="412" spans="1:6">
      <c r="A412" s="2">
        <v>45890</v>
      </c>
      <c r="B412">
        <v>47.306495666503913</v>
      </c>
      <c r="C412">
        <f t="shared" si="12"/>
        <v>0.99812618642597906</v>
      </c>
      <c r="E412">
        <v>6370.169921875</v>
      </c>
      <c r="F412">
        <f t="shared" si="13"/>
        <v>0.99599581847069107</v>
      </c>
    </row>
    <row r="413" spans="1:6">
      <c r="A413" s="2">
        <v>45891</v>
      </c>
      <c r="B413">
        <v>47.336101531982422</v>
      </c>
      <c r="C413">
        <f t="shared" si="12"/>
        <v>1.0006258308729359</v>
      </c>
      <c r="E413">
        <v>6466.91015625</v>
      </c>
      <c r="F413">
        <f t="shared" si="13"/>
        <v>1.0151864448768935</v>
      </c>
    </row>
    <row r="414" spans="1:6">
      <c r="A414" s="2">
        <v>45894</v>
      </c>
      <c r="B414">
        <v>46.970985412597663</v>
      </c>
      <c r="C414">
        <f t="shared" si="12"/>
        <v>0.99228673026362191</v>
      </c>
      <c r="E414">
        <v>6439.31982421875</v>
      </c>
      <c r="F414">
        <f t="shared" si="13"/>
        <v>0.99573361445193653</v>
      </c>
    </row>
    <row r="415" spans="1:6">
      <c r="A415" s="2">
        <v>45895</v>
      </c>
      <c r="B415">
        <v>46.813102722167969</v>
      </c>
      <c r="C415">
        <f t="shared" si="12"/>
        <v>0.99663871879538324</v>
      </c>
      <c r="E415">
        <v>6465.93994140625</v>
      </c>
      <c r="F415">
        <f t="shared" si="13"/>
        <v>1.004133995191135</v>
      </c>
    </row>
    <row r="416" spans="1:6">
      <c r="A416" s="2">
        <v>45896</v>
      </c>
      <c r="B416">
        <v>46.980857849121087</v>
      </c>
      <c r="C416">
        <f t="shared" si="12"/>
        <v>1.0035835079752935</v>
      </c>
      <c r="E416">
        <v>6481.39990234375</v>
      </c>
      <c r="F416">
        <f t="shared" si="13"/>
        <v>1.0023909843081744</v>
      </c>
    </row>
    <row r="417" spans="1:6">
      <c r="A417" s="2">
        <v>45897</v>
      </c>
      <c r="B417">
        <v>47.178215026855469</v>
      </c>
      <c r="C417">
        <f t="shared" si="12"/>
        <v>1.0042007997888884</v>
      </c>
      <c r="E417">
        <v>6501.85986328125</v>
      </c>
      <c r="F417">
        <f t="shared" si="13"/>
        <v>1.003156719419535</v>
      </c>
    </row>
    <row r="418" spans="1:6">
      <c r="A418" s="2">
        <v>45898</v>
      </c>
      <c r="B418">
        <v>47.701210021972663</v>
      </c>
      <c r="C418">
        <f t="shared" si="12"/>
        <v>1.0110855189162939</v>
      </c>
      <c r="E418">
        <v>6460.259765625</v>
      </c>
      <c r="F418">
        <f t="shared" si="13"/>
        <v>0.99360181570642836</v>
      </c>
    </row>
    <row r="419" spans="1:6">
      <c r="A419" s="2">
        <v>45902</v>
      </c>
      <c r="B419">
        <v>47.661739349365227</v>
      </c>
      <c r="C419">
        <f t="shared" si="12"/>
        <v>0.99917254357721208</v>
      </c>
      <c r="E419">
        <v>6415.5400390625</v>
      </c>
      <c r="F419">
        <f t="shared" si="13"/>
        <v>0.99307772006313844</v>
      </c>
    </row>
    <row r="420" spans="1:6">
      <c r="A420" s="2">
        <v>45903</v>
      </c>
      <c r="B420">
        <v>47.681472778320313</v>
      </c>
      <c r="C420">
        <f t="shared" si="12"/>
        <v>1.0004140308185239</v>
      </c>
      <c r="E420">
        <v>6448.259765625</v>
      </c>
      <c r="F420">
        <f t="shared" si="13"/>
        <v>1.0051000736279843</v>
      </c>
    </row>
    <row r="421" spans="1:6">
      <c r="A421" s="2">
        <v>45904</v>
      </c>
      <c r="B421">
        <v>47.523586273193359</v>
      </c>
      <c r="C421">
        <f t="shared" si="12"/>
        <v>0.99668872423758814</v>
      </c>
      <c r="E421">
        <v>6502.080078125</v>
      </c>
      <c r="F421">
        <f t="shared" si="13"/>
        <v>1.0083464864096994</v>
      </c>
    </row>
    <row r="422" spans="1:6">
      <c r="A422" s="2">
        <v>45905</v>
      </c>
      <c r="B422">
        <v>47.622264862060547</v>
      </c>
      <c r="C422">
        <f t="shared" si="12"/>
        <v>1.0020764129268345</v>
      </c>
      <c r="E422">
        <v>6481.5</v>
      </c>
      <c r="F422">
        <f t="shared" si="13"/>
        <v>0.99683484702161118</v>
      </c>
    </row>
    <row r="423" spans="1:6">
      <c r="A423" s="2">
        <v>45908</v>
      </c>
      <c r="B423">
        <v>47.681472778320313</v>
      </c>
      <c r="C423">
        <f t="shared" si="12"/>
        <v>1.0012432822426918</v>
      </c>
      <c r="E423">
        <v>6495.14990234375</v>
      </c>
      <c r="F423">
        <f t="shared" si="13"/>
        <v>1.002105978915953</v>
      </c>
    </row>
    <row r="424" spans="1:6">
      <c r="A424" s="2">
        <v>45909</v>
      </c>
      <c r="B424">
        <v>47.69134521484375</v>
      </c>
      <c r="C424">
        <f t="shared" si="12"/>
        <v>1.0002070497396198</v>
      </c>
      <c r="E424">
        <v>6512.60986328125</v>
      </c>
      <c r="F424">
        <f t="shared" si="13"/>
        <v>1.0026881536531127</v>
      </c>
    </row>
    <row r="425" spans="1:6">
      <c r="A425" s="2">
        <v>45910</v>
      </c>
      <c r="B425">
        <v>47.947906494140618</v>
      </c>
      <c r="C425">
        <f t="shared" si="12"/>
        <v>1.0053796192609181</v>
      </c>
      <c r="E425">
        <v>6532.0400390625</v>
      </c>
      <c r="F425">
        <f t="shared" si="13"/>
        <v>1.0029834699435627</v>
      </c>
    </row>
    <row r="426" spans="1:6">
      <c r="A426" s="2">
        <v>45911</v>
      </c>
      <c r="B426">
        <v>48.165000915527337</v>
      </c>
      <c r="C426">
        <f t="shared" si="12"/>
        <v>1.004527714289533</v>
      </c>
      <c r="E426">
        <v>6587.47021484375</v>
      </c>
      <c r="F426">
        <f t="shared" si="13"/>
        <v>1.0084858903879599</v>
      </c>
    </row>
    <row r="427" spans="1:6">
      <c r="A427" s="2">
        <v>45912</v>
      </c>
      <c r="B427">
        <v>48.451164245605469</v>
      </c>
      <c r="C427">
        <f t="shared" si="12"/>
        <v>1.0059413126676777</v>
      </c>
      <c r="E427">
        <v>6584.2900390625</v>
      </c>
      <c r="F427">
        <f t="shared" si="13"/>
        <v>0.9995172386853326</v>
      </c>
    </row>
    <row r="428" spans="1:6">
      <c r="A428" s="2">
        <v>45915</v>
      </c>
      <c r="B428">
        <v>48.411697387695313</v>
      </c>
      <c r="C428">
        <f t="shared" si="12"/>
        <v>0.99918543014343075</v>
      </c>
      <c r="E428">
        <v>6615.27978515625</v>
      </c>
      <c r="F428">
        <f t="shared" si="13"/>
        <v>1.0047066192269627</v>
      </c>
    </row>
    <row r="429" spans="1:6">
      <c r="A429" s="2">
        <v>45916</v>
      </c>
      <c r="B429">
        <v>48.243942260742188</v>
      </c>
      <c r="C429">
        <f t="shared" si="12"/>
        <v>0.99653482244983704</v>
      </c>
      <c r="E429">
        <v>6606.759765625</v>
      </c>
      <c r="F429">
        <f t="shared" si="13"/>
        <v>0.99871206966175974</v>
      </c>
    </row>
    <row r="430" spans="1:6">
      <c r="A430" s="2">
        <v>45917</v>
      </c>
      <c r="B430">
        <v>48.461036682128913</v>
      </c>
      <c r="C430">
        <f t="shared" si="12"/>
        <v>1.004499931208221</v>
      </c>
      <c r="E430">
        <v>6600.35009765625</v>
      </c>
      <c r="F430">
        <f t="shared" si="13"/>
        <v>0.99902983183948968</v>
      </c>
    </row>
    <row r="431" spans="1:6">
      <c r="A431" s="2">
        <v>45918</v>
      </c>
      <c r="B431">
        <v>48.470901489257813</v>
      </c>
      <c r="C431">
        <f t="shared" si="12"/>
        <v>1.000203561619897</v>
      </c>
      <c r="E431">
        <v>6631.9599609375</v>
      </c>
      <c r="F431">
        <f t="shared" si="13"/>
        <v>1.0047891191851284</v>
      </c>
    </row>
    <row r="432" spans="1:6">
      <c r="A432" s="2">
        <v>45919</v>
      </c>
      <c r="B432">
        <v>48.806407928466797</v>
      </c>
      <c r="C432">
        <f t="shared" si="12"/>
        <v>1.0069218114146967</v>
      </c>
      <c r="E432">
        <v>6664.35986328125</v>
      </c>
      <c r="F432">
        <f t="shared" si="13"/>
        <v>1.0048854188708296</v>
      </c>
    </row>
    <row r="433" spans="1:6">
      <c r="A433" s="2">
        <v>45922</v>
      </c>
      <c r="B433">
        <v>48.539974212646477</v>
      </c>
      <c r="C433">
        <f t="shared" si="12"/>
        <v>0.99454100952869107</v>
      </c>
      <c r="E433">
        <v>6693.75</v>
      </c>
      <c r="F433">
        <f t="shared" si="13"/>
        <v>1.0044100464743331</v>
      </c>
    </row>
    <row r="434" spans="1:6">
      <c r="A434" s="2">
        <v>45923</v>
      </c>
      <c r="B434">
        <v>48.944557189941413</v>
      </c>
      <c r="C434">
        <f t="shared" si="12"/>
        <v>1.0083350472236041</v>
      </c>
      <c r="E434">
        <v>6656.919921875</v>
      </c>
      <c r="F434">
        <f t="shared" si="13"/>
        <v>0.99449784080298786</v>
      </c>
    </row>
    <row r="435" spans="1:6">
      <c r="A435" s="2">
        <v>45924</v>
      </c>
      <c r="B435">
        <v>49.319538116455078</v>
      </c>
      <c r="C435">
        <f t="shared" si="12"/>
        <v>1.0076613406687582</v>
      </c>
      <c r="E435">
        <v>6637.97021484375</v>
      </c>
      <c r="F435">
        <f t="shared" si="13"/>
        <v>0.99715338215666671</v>
      </c>
    </row>
    <row r="436" spans="1:6">
      <c r="A436" s="2">
        <v>45925</v>
      </c>
      <c r="B436">
        <v>48.914955139160163</v>
      </c>
      <c r="C436">
        <f t="shared" si="12"/>
        <v>0.99179669979188367</v>
      </c>
      <c r="E436">
        <v>6604.72021484375</v>
      </c>
      <c r="F436">
        <f t="shared" si="13"/>
        <v>0.99499093865687338</v>
      </c>
    </row>
    <row r="437" spans="1:6">
      <c r="A437" s="2">
        <v>45926</v>
      </c>
      <c r="B437">
        <v>48.9346923828125</v>
      </c>
      <c r="C437">
        <f t="shared" si="12"/>
        <v>1.0004035012113612</v>
      </c>
      <c r="E437">
        <v>6643.7001953125</v>
      </c>
      <c r="F437">
        <f t="shared" si="13"/>
        <v>1.0059018367471713</v>
      </c>
    </row>
    <row r="438" spans="1:6">
      <c r="A438" s="2">
        <v>45929</v>
      </c>
      <c r="B438">
        <v>49.062973022460938</v>
      </c>
      <c r="C438">
        <f t="shared" si="12"/>
        <v>1.0026214661501274</v>
      </c>
      <c r="E438">
        <v>6661.2099609375</v>
      </c>
      <c r="F438">
        <f t="shared" si="13"/>
        <v>1.0026355442163621</v>
      </c>
    </row>
    <row r="439" spans="1:6">
      <c r="A439" s="2">
        <v>45930</v>
      </c>
      <c r="B439">
        <v>49.793193817138672</v>
      </c>
      <c r="C439">
        <f t="shared" si="12"/>
        <v>1.0148833376718414</v>
      </c>
      <c r="E439">
        <v>6688.4599609375</v>
      </c>
      <c r="F439">
        <f t="shared" si="13"/>
        <v>1.0040908483833717</v>
      </c>
    </row>
    <row r="440" spans="1:6">
      <c r="A440" s="2">
        <v>45931</v>
      </c>
      <c r="B440">
        <v>48.9346923828125</v>
      </c>
      <c r="C440">
        <f t="shared" si="12"/>
        <v>0.98275865899506376</v>
      </c>
      <c r="E440">
        <v>6711.2001953125</v>
      </c>
      <c r="F440">
        <f t="shared" si="13"/>
        <v>1.003399920834962</v>
      </c>
    </row>
    <row r="441" spans="1:6">
      <c r="A441" s="2">
        <v>45932</v>
      </c>
      <c r="B441">
        <v>49.043239593505859</v>
      </c>
      <c r="C441">
        <f t="shared" si="12"/>
        <v>1.0022182056411881</v>
      </c>
      <c r="E441">
        <v>6715.35009765625</v>
      </c>
      <c r="F441">
        <f t="shared" si="13"/>
        <v>1.0006183547238912</v>
      </c>
    </row>
    <row r="442" spans="1:6">
      <c r="A442" s="2">
        <v>45933</v>
      </c>
      <c r="B442">
        <v>49.408348083496087</v>
      </c>
      <c r="C442">
        <f t="shared" si="12"/>
        <v>1.0074446242339703</v>
      </c>
      <c r="E442">
        <v>6715.7900390625</v>
      </c>
      <c r="F442">
        <f t="shared" si="13"/>
        <v>1.0000655128027358</v>
      </c>
    </row>
    <row r="443" spans="1:6">
      <c r="A443" s="2">
        <v>45936</v>
      </c>
      <c r="B443">
        <v>49.112312316894531</v>
      </c>
      <c r="C443">
        <f t="shared" si="12"/>
        <v>0.99400838566589433</v>
      </c>
      <c r="E443">
        <v>6740.27978515625</v>
      </c>
      <c r="F443">
        <f t="shared" si="13"/>
        <v>1.0036465919796933</v>
      </c>
    </row>
    <row r="444" spans="1:6">
      <c r="A444" s="2">
        <v>45937</v>
      </c>
      <c r="B444">
        <v>48.796543121337891</v>
      </c>
      <c r="C444">
        <f t="shared" si="12"/>
        <v>0.9935704677572671</v>
      </c>
      <c r="E444">
        <v>6714.58984375</v>
      </c>
      <c r="F444">
        <f t="shared" si="13"/>
        <v>0.99618859420897843</v>
      </c>
    </row>
    <row r="445" spans="1:6">
      <c r="A445" s="2">
        <v>45938</v>
      </c>
      <c r="B445">
        <v>48.382091522216797</v>
      </c>
      <c r="C445">
        <f t="shared" si="12"/>
        <v>0.99150653770512975</v>
      </c>
      <c r="E445">
        <v>6753.72021484375</v>
      </c>
      <c r="F445">
        <f t="shared" si="13"/>
        <v>1.0058276636405681</v>
      </c>
    </row>
    <row r="446" spans="1:6">
      <c r="A446" s="2">
        <v>45939</v>
      </c>
      <c r="B446">
        <v>47.3558349609375</v>
      </c>
      <c r="C446">
        <f t="shared" si="12"/>
        <v>0.97878850357661684</v>
      </c>
      <c r="E446">
        <v>6735.10986328125</v>
      </c>
      <c r="F446">
        <f t="shared" si="13"/>
        <v>0.99724442959280468</v>
      </c>
    </row>
    <row r="447" spans="1:6">
      <c r="A447" s="2">
        <v>45940</v>
      </c>
      <c r="B447">
        <v>47.059799194335938</v>
      </c>
      <c r="C447">
        <f t="shared" si="12"/>
        <v>0.99374869502679541</v>
      </c>
      <c r="E447">
        <v>6552.509765625</v>
      </c>
      <c r="F447">
        <f t="shared" si="13"/>
        <v>0.97288832678858639</v>
      </c>
    </row>
    <row r="448" spans="1:6">
      <c r="A448" s="2">
        <v>45943</v>
      </c>
      <c r="B448">
        <v>47.109138488769531</v>
      </c>
      <c r="C448">
        <f t="shared" si="12"/>
        <v>1.0010484382695695</v>
      </c>
      <c r="E448">
        <v>6654.72021484375</v>
      </c>
      <c r="F448">
        <f t="shared" si="13"/>
        <v>1.0155986717875576</v>
      </c>
    </row>
    <row r="449" spans="1:6">
      <c r="A449" s="2">
        <v>45944</v>
      </c>
      <c r="B449">
        <v>46.892047882080078</v>
      </c>
      <c r="C449">
        <f t="shared" si="12"/>
        <v>0.99539175171413496</v>
      </c>
      <c r="E449">
        <v>6644.31005859375</v>
      </c>
      <c r="F449">
        <f t="shared" si="13"/>
        <v>0.99843567333953731</v>
      </c>
    </row>
    <row r="450" spans="1:6">
      <c r="A450" s="2">
        <v>45945</v>
      </c>
      <c r="B450">
        <v>46.980857849121087</v>
      </c>
      <c r="C450">
        <f t="shared" si="12"/>
        <v>1.0018939238325513</v>
      </c>
      <c r="E450">
        <v>6671.06005859375</v>
      </c>
      <c r="F450">
        <f t="shared" si="13"/>
        <v>1.0040260011595037</v>
      </c>
    </row>
    <row r="451" spans="1:6">
      <c r="A451" s="2">
        <v>45946</v>
      </c>
      <c r="B451">
        <v>46.586139678955078</v>
      </c>
      <c r="C451">
        <f t="shared" si="12"/>
        <v>0.99159831922538233</v>
      </c>
      <c r="E451">
        <v>6629.06982421875</v>
      </c>
      <c r="F451">
        <f t="shared" si="13"/>
        <v>0.99370561290017057</v>
      </c>
    </row>
    <row r="452" spans="1:6">
      <c r="A452" s="2">
        <v>45947</v>
      </c>
      <c r="B452">
        <v>46.457862854003913</v>
      </c>
      <c r="C452">
        <f t="shared" ref="C452:C515" si="14">B452/B451</f>
        <v>0.99724645944404977</v>
      </c>
      <c r="E452">
        <v>6664.009765625</v>
      </c>
      <c r="F452">
        <f t="shared" ref="F452:F515" si="15">E452/E451</f>
        <v>1.0052707155502572</v>
      </c>
    </row>
    <row r="453" spans="1:6">
      <c r="A453" s="2">
        <v>45950</v>
      </c>
      <c r="B453">
        <v>46.586139678955078</v>
      </c>
      <c r="C453">
        <f t="shared" si="14"/>
        <v>1.0027611434764936</v>
      </c>
      <c r="E453">
        <v>6735.1298828125</v>
      </c>
      <c r="F453">
        <f t="shared" si="15"/>
        <v>1.0106722708532569</v>
      </c>
    </row>
    <row r="454" spans="1:6">
      <c r="A454" s="2">
        <v>45951</v>
      </c>
      <c r="B454">
        <v>46.645351409912109</v>
      </c>
      <c r="C454">
        <f t="shared" si="14"/>
        <v>1.0012710160439369</v>
      </c>
      <c r="E454">
        <v>6735.35009765625</v>
      </c>
      <c r="F454">
        <f t="shared" si="15"/>
        <v>1.0000326964509343</v>
      </c>
    </row>
    <row r="455" spans="1:6">
      <c r="A455" s="2">
        <v>45952</v>
      </c>
      <c r="B455">
        <v>47.079532623291023</v>
      </c>
      <c r="C455">
        <f t="shared" si="14"/>
        <v>1.0093081346855637</v>
      </c>
      <c r="E455">
        <v>6699.39990234375</v>
      </c>
      <c r="F455">
        <f t="shared" si="15"/>
        <v>0.99466246077913456</v>
      </c>
    </row>
    <row r="456" spans="1:6">
      <c r="A456" s="2">
        <v>45953</v>
      </c>
      <c r="B456">
        <v>46.556537628173828</v>
      </c>
      <c r="C456">
        <f t="shared" si="14"/>
        <v>0.98889124496409164</v>
      </c>
      <c r="E456">
        <v>6738.43994140625</v>
      </c>
      <c r="F456">
        <f t="shared" si="15"/>
        <v>1.0058273934429325</v>
      </c>
    </row>
    <row r="457" spans="1:6">
      <c r="A457" s="2">
        <v>45954</v>
      </c>
      <c r="B457">
        <v>46.290107727050781</v>
      </c>
      <c r="C457">
        <f t="shared" si="14"/>
        <v>0.99427728274703542</v>
      </c>
      <c r="E457">
        <v>6791.68994140625</v>
      </c>
      <c r="F457">
        <f t="shared" si="15"/>
        <v>1.0079024225878739</v>
      </c>
    </row>
    <row r="458" spans="1:6">
      <c r="A458" s="2">
        <v>45957</v>
      </c>
      <c r="B458">
        <v>46.645351409912109</v>
      </c>
      <c r="C458">
        <f t="shared" si="14"/>
        <v>1.0076742893958255</v>
      </c>
      <c r="E458">
        <v>6875.16015625</v>
      </c>
      <c r="F458">
        <f t="shared" si="15"/>
        <v>1.0122900508656711</v>
      </c>
    </row>
    <row r="459" spans="1:6">
      <c r="A459" s="2">
        <v>45958</v>
      </c>
      <c r="B459">
        <v>46.467727661132813</v>
      </c>
      <c r="C459">
        <f t="shared" si="14"/>
        <v>0.99619203750405116</v>
      </c>
      <c r="E459">
        <v>6890.89013671875</v>
      </c>
      <c r="F459">
        <f t="shared" si="15"/>
        <v>1.0022879438603987</v>
      </c>
    </row>
    <row r="460" spans="1:6">
      <c r="A460" s="2">
        <v>45959</v>
      </c>
      <c r="B460">
        <v>46.053276062011719</v>
      </c>
      <c r="C460">
        <f t="shared" si="14"/>
        <v>0.99108087225302921</v>
      </c>
      <c r="E460">
        <v>6890.58984375</v>
      </c>
      <c r="F460">
        <f t="shared" si="15"/>
        <v>0.99995642174482657</v>
      </c>
    </row>
    <row r="461" spans="1:6">
      <c r="A461" s="2">
        <v>45960</v>
      </c>
      <c r="B461">
        <v>46.359180450439453</v>
      </c>
      <c r="C461">
        <f t="shared" si="14"/>
        <v>1.0066424023345446</v>
      </c>
      <c r="E461">
        <v>6822.33984375</v>
      </c>
      <c r="F461">
        <f t="shared" si="15"/>
        <v>0.99009518756048076</v>
      </c>
    </row>
    <row r="462" spans="1:6">
      <c r="A462" s="2">
        <v>45961</v>
      </c>
      <c r="B462">
        <v>46.003936767578118</v>
      </c>
      <c r="C462">
        <f t="shared" si="14"/>
        <v>0.99233714488889402</v>
      </c>
      <c r="E462">
        <v>6840.2001953125</v>
      </c>
      <c r="F462">
        <f t="shared" si="15"/>
        <v>1.0026179217059763</v>
      </c>
    </row>
    <row r="463" spans="1:6">
      <c r="A463" s="2">
        <v>45964</v>
      </c>
      <c r="B463">
        <v>46.003936767578118</v>
      </c>
      <c r="C463">
        <f t="shared" si="14"/>
        <v>1</v>
      </c>
      <c r="E463">
        <v>6851.97021484375</v>
      </c>
      <c r="F463">
        <f t="shared" si="15"/>
        <v>1.0017207127269925</v>
      </c>
    </row>
    <row r="464" spans="1:6">
      <c r="A464" s="2">
        <v>45965</v>
      </c>
      <c r="B464">
        <v>45.7769775390625</v>
      </c>
      <c r="C464">
        <f t="shared" si="14"/>
        <v>0.99506652594402378</v>
      </c>
      <c r="E464">
        <v>6771.5498046875</v>
      </c>
      <c r="F464">
        <f t="shared" si="15"/>
        <v>0.98826316991541618</v>
      </c>
    </row>
    <row r="465" spans="1:6">
      <c r="A465" s="2">
        <v>45966</v>
      </c>
      <c r="B465">
        <v>45.944732666015618</v>
      </c>
      <c r="C465">
        <f t="shared" si="14"/>
        <v>1.0036646178050959</v>
      </c>
      <c r="E465">
        <v>6796.2900390625</v>
      </c>
      <c r="F465">
        <f t="shared" si="15"/>
        <v>1.0036535556982649</v>
      </c>
    </row>
    <row r="466" spans="1:6">
      <c r="A466" s="2">
        <v>45967</v>
      </c>
      <c r="B466">
        <v>46.260505676269531</v>
      </c>
      <c r="C466">
        <f t="shared" si="14"/>
        <v>1.0068728881839264</v>
      </c>
      <c r="E466">
        <v>6720.31982421875</v>
      </c>
      <c r="F466">
        <f t="shared" si="15"/>
        <v>0.98882181095758093</v>
      </c>
    </row>
    <row r="467" spans="1:6">
      <c r="A467" s="2">
        <v>45968</v>
      </c>
      <c r="B467">
        <v>47.079532623291023</v>
      </c>
      <c r="C467">
        <f t="shared" si="14"/>
        <v>1.0177046691351157</v>
      </c>
      <c r="E467">
        <v>6728.7998046875</v>
      </c>
      <c r="F467">
        <f t="shared" si="15"/>
        <v>1.001261841800771</v>
      </c>
    </row>
    <row r="468" spans="1:6">
      <c r="A468" s="2">
        <v>45971</v>
      </c>
      <c r="B468">
        <v>47.286758422851563</v>
      </c>
      <c r="C468">
        <f t="shared" si="14"/>
        <v>1.0044016112313321</v>
      </c>
      <c r="E468">
        <v>6832.43017578125</v>
      </c>
      <c r="F468">
        <f t="shared" si="15"/>
        <v>1.0154010186217099</v>
      </c>
    </row>
    <row r="469" spans="1:6">
      <c r="A469" s="2">
        <v>45972</v>
      </c>
      <c r="B469">
        <v>47.651870727539063</v>
      </c>
      <c r="C469">
        <f t="shared" si="14"/>
        <v>1.0077212377601052</v>
      </c>
      <c r="E469">
        <v>6846.60986328125</v>
      </c>
      <c r="F469">
        <f t="shared" si="15"/>
        <v>1.0020753505173405</v>
      </c>
    </row>
    <row r="470" spans="1:6">
      <c r="A470" s="2">
        <v>45973</v>
      </c>
      <c r="B470">
        <v>48.066318511962891</v>
      </c>
      <c r="C470">
        <f t="shared" si="14"/>
        <v>1.0086974084772775</v>
      </c>
      <c r="E470">
        <v>6850.919921875</v>
      </c>
      <c r="F470">
        <f t="shared" si="15"/>
        <v>1.0006295171887718</v>
      </c>
    </row>
    <row r="471" spans="1:6">
      <c r="A471" s="2">
        <v>45974</v>
      </c>
      <c r="B471">
        <v>47.622264862060547</v>
      </c>
      <c r="C471">
        <f t="shared" si="14"/>
        <v>0.9907616463326222</v>
      </c>
      <c r="E471">
        <v>6737.490234375</v>
      </c>
      <c r="F471">
        <f t="shared" si="15"/>
        <v>0.98344314503840302</v>
      </c>
    </row>
    <row r="472" spans="1:6">
      <c r="A472" s="2">
        <v>45975</v>
      </c>
      <c r="B472">
        <v>47.247287750244141</v>
      </c>
      <c r="C472">
        <f t="shared" si="14"/>
        <v>0.992126012635003</v>
      </c>
      <c r="E472">
        <v>6734.10986328125</v>
      </c>
      <c r="F472">
        <f t="shared" si="15"/>
        <v>0.99949827443511485</v>
      </c>
    </row>
    <row r="473" spans="1:6">
      <c r="A473" s="2">
        <v>45978</v>
      </c>
      <c r="B473">
        <v>47.119007110595703</v>
      </c>
      <c r="C473">
        <f t="shared" si="14"/>
        <v>0.99728490997564667</v>
      </c>
      <c r="E473">
        <v>6672.41015625</v>
      </c>
      <c r="F473">
        <f t="shared" si="15"/>
        <v>0.99083773382319218</v>
      </c>
    </row>
    <row r="474" spans="1:6">
      <c r="A474" s="2">
        <v>45979</v>
      </c>
      <c r="B474">
        <v>47.632133483886719</v>
      </c>
      <c r="C474">
        <f t="shared" si="14"/>
        <v>1.0108900081889804</v>
      </c>
      <c r="E474">
        <v>6617.31982421875</v>
      </c>
      <c r="F474">
        <f t="shared" si="15"/>
        <v>0.99174356330903202</v>
      </c>
    </row>
    <row r="475" spans="1:6">
      <c r="A475" s="2">
        <v>45980</v>
      </c>
      <c r="B475">
        <v>47.977508544921882</v>
      </c>
      <c r="C475">
        <f t="shared" si="14"/>
        <v>1.0072508837159688</v>
      </c>
      <c r="E475">
        <v>6642.16015625</v>
      </c>
      <c r="F475">
        <f t="shared" si="15"/>
        <v>1.0037538357962292</v>
      </c>
    </row>
    <row r="476" spans="1:6">
      <c r="A476" s="2">
        <v>45981</v>
      </c>
      <c r="B476">
        <v>47.661739349365227</v>
      </c>
      <c r="C476">
        <f t="shared" si="14"/>
        <v>0.99341839113506702</v>
      </c>
      <c r="E476">
        <v>6538.759765625</v>
      </c>
      <c r="F476">
        <f t="shared" si="15"/>
        <v>0.98443271643672958</v>
      </c>
    </row>
    <row r="477" spans="1:6">
      <c r="A477" s="2">
        <v>45982</v>
      </c>
      <c r="B477">
        <v>47.306495666503913</v>
      </c>
      <c r="C477">
        <f t="shared" si="14"/>
        <v>0.99254656486081339</v>
      </c>
      <c r="E477">
        <v>6602.990234375</v>
      </c>
      <c r="F477">
        <f t="shared" si="15"/>
        <v>1.0098230354153195</v>
      </c>
    </row>
    <row r="478" spans="1:6">
      <c r="A478" s="2">
        <v>45985</v>
      </c>
      <c r="B478">
        <v>46.694686889648438</v>
      </c>
      <c r="C478">
        <f t="shared" si="14"/>
        <v>0.98706712961432319</v>
      </c>
      <c r="E478">
        <v>6705.1201171875</v>
      </c>
      <c r="F478">
        <f t="shared" si="15"/>
        <v>1.0154672170012935</v>
      </c>
    </row>
    <row r="479" spans="1:6">
      <c r="A479" s="2">
        <v>45986</v>
      </c>
      <c r="B479">
        <v>46.9315185546875</v>
      </c>
      <c r="C479">
        <f t="shared" si="14"/>
        <v>1.005071918901582</v>
      </c>
      <c r="E479">
        <v>6765.8798828125</v>
      </c>
      <c r="F479">
        <f t="shared" si="15"/>
        <v>1.0090616968172206</v>
      </c>
    </row>
    <row r="480" spans="1:6">
      <c r="A480" s="2">
        <v>45987</v>
      </c>
      <c r="B480">
        <v>47.405174255371087</v>
      </c>
      <c r="C480">
        <f t="shared" si="14"/>
        <v>1.0100924861430096</v>
      </c>
      <c r="E480">
        <v>6812.60986328125</v>
      </c>
      <c r="F480">
        <f t="shared" si="15"/>
        <v>1.0069067115110126</v>
      </c>
    </row>
    <row r="481" spans="1:6">
      <c r="A481" s="2">
        <v>45989</v>
      </c>
      <c r="B481">
        <v>48.135395050048828</v>
      </c>
      <c r="C481">
        <f t="shared" si="14"/>
        <v>1.0154038204931819</v>
      </c>
      <c r="E481">
        <v>6849.08984375</v>
      </c>
      <c r="F481">
        <f t="shared" si="15"/>
        <v>1.0053547731634203</v>
      </c>
    </row>
    <row r="482" spans="1:6">
      <c r="A482" s="2">
        <v>45992</v>
      </c>
      <c r="B482">
        <v>48.243942260742188</v>
      </c>
      <c r="C482">
        <f t="shared" si="14"/>
        <v>1.002255039365118</v>
      </c>
      <c r="E482">
        <v>6812.6298828125</v>
      </c>
      <c r="F482">
        <f t="shared" si="15"/>
        <v>0.99467667065708432</v>
      </c>
    </row>
    <row r="483" spans="1:6">
      <c r="A483" s="2">
        <v>45993</v>
      </c>
      <c r="B483">
        <v>47.474250793457031</v>
      </c>
      <c r="C483">
        <f t="shared" si="14"/>
        <v>0.98404584220905422</v>
      </c>
      <c r="E483">
        <v>6829.3701171875</v>
      </c>
      <c r="F483">
        <f t="shared" si="15"/>
        <v>1.0024572352619998</v>
      </c>
    </row>
    <row r="484" spans="1:6">
      <c r="A484" s="2">
        <v>45994</v>
      </c>
      <c r="B484">
        <v>47.119007110595703</v>
      </c>
      <c r="C484">
        <f t="shared" si="14"/>
        <v>0.99251712924534896</v>
      </c>
      <c r="E484">
        <v>6849.72021484375</v>
      </c>
      <c r="F484">
        <f t="shared" si="15"/>
        <v>1.0029797912994984</v>
      </c>
    </row>
    <row r="485" spans="1:6">
      <c r="A485" s="2">
        <v>45995</v>
      </c>
      <c r="B485">
        <v>47.503852844238281</v>
      </c>
      <c r="C485">
        <f t="shared" si="14"/>
        <v>1.00816752638143</v>
      </c>
      <c r="E485">
        <v>6857.1201171875</v>
      </c>
      <c r="F485">
        <f t="shared" si="15"/>
        <v>1.0010803218396738</v>
      </c>
    </row>
    <row r="486" spans="1:6">
      <c r="A486" s="2">
        <v>45996</v>
      </c>
      <c r="B486">
        <v>47.454513549804688</v>
      </c>
      <c r="C486">
        <f t="shared" si="14"/>
        <v>0.99896136225843879</v>
      </c>
      <c r="E486">
        <v>6870.39990234375</v>
      </c>
      <c r="F486">
        <f t="shared" si="15"/>
        <v>1.0019366417576621</v>
      </c>
    </row>
    <row r="487" spans="1:6">
      <c r="A487" s="2">
        <v>45999</v>
      </c>
      <c r="B487">
        <v>47.553192138671882</v>
      </c>
      <c r="C487">
        <f t="shared" si="14"/>
        <v>1.0020794352630678</v>
      </c>
      <c r="E487">
        <v>6846.509765625</v>
      </c>
      <c r="F487">
        <f t="shared" si="15"/>
        <v>0.99652274437320598</v>
      </c>
    </row>
    <row r="488" spans="1:6">
      <c r="A488" s="2">
        <v>46000</v>
      </c>
      <c r="B488">
        <v>46.911781311035163</v>
      </c>
      <c r="C488">
        <f t="shared" si="14"/>
        <v>0.98651171879763033</v>
      </c>
      <c r="E488">
        <v>6840.509765625</v>
      </c>
      <c r="F488">
        <f t="shared" si="15"/>
        <v>0.99912364106597429</v>
      </c>
    </row>
    <row r="489" spans="1:6">
      <c r="A489" s="2">
        <v>46001</v>
      </c>
      <c r="B489">
        <v>46.56640625</v>
      </c>
      <c r="C489">
        <f t="shared" si="14"/>
        <v>0.99263777559958233</v>
      </c>
      <c r="E489">
        <v>6886.68017578125</v>
      </c>
      <c r="F489">
        <f t="shared" si="15"/>
        <v>1.0067495569392015</v>
      </c>
    </row>
    <row r="490" spans="1:6">
      <c r="A490" s="2">
        <v>46002</v>
      </c>
      <c r="B490">
        <v>46.783500671386719</v>
      </c>
      <c r="C490">
        <f t="shared" si="14"/>
        <v>1.0046620394157368</v>
      </c>
      <c r="E490">
        <v>6901</v>
      </c>
      <c r="F490">
        <f t="shared" si="15"/>
        <v>1.0020793508415142</v>
      </c>
    </row>
    <row r="491" spans="1:6">
      <c r="A491" s="2">
        <v>46003</v>
      </c>
      <c r="B491">
        <v>46.921649932861328</v>
      </c>
      <c r="C491">
        <f t="shared" si="14"/>
        <v>1.0029529483576911</v>
      </c>
      <c r="E491">
        <v>6827.41015625</v>
      </c>
      <c r="F491">
        <f t="shared" si="15"/>
        <v>0.989336350710042</v>
      </c>
    </row>
    <row r="492" spans="1:6">
      <c r="A492" s="2">
        <v>46006</v>
      </c>
      <c r="B492">
        <v>47.049930572509773</v>
      </c>
      <c r="C492">
        <f t="shared" si="14"/>
        <v>1.0027339328397871</v>
      </c>
      <c r="E492">
        <v>6816.509765625</v>
      </c>
      <c r="F492">
        <f t="shared" si="15"/>
        <v>0.99840343697309275</v>
      </c>
    </row>
    <row r="493" spans="1:6">
      <c r="A493" s="2">
        <v>46007</v>
      </c>
      <c r="B493">
        <v>46.053276062011719</v>
      </c>
      <c r="C493">
        <f t="shared" si="14"/>
        <v>0.97881708860415673</v>
      </c>
      <c r="E493">
        <v>6800.259765625</v>
      </c>
      <c r="F493">
        <f t="shared" si="15"/>
        <v>0.99761608204803764</v>
      </c>
    </row>
    <row r="494" spans="1:6">
      <c r="A494" s="2">
        <v>46008</v>
      </c>
      <c r="B494">
        <v>46.319709777832031</v>
      </c>
      <c r="C494">
        <f t="shared" si="14"/>
        <v>1.0057853368664056</v>
      </c>
      <c r="E494">
        <v>6721.43017578125</v>
      </c>
      <c r="F494">
        <f t="shared" si="15"/>
        <v>0.98840785608775861</v>
      </c>
    </row>
    <row r="495" spans="1:6">
      <c r="A495" s="2">
        <v>46009</v>
      </c>
      <c r="B495">
        <v>46.122356414794922</v>
      </c>
      <c r="C495">
        <f t="shared" si="14"/>
        <v>0.99573932211614247</v>
      </c>
      <c r="E495">
        <v>6774.759765625</v>
      </c>
      <c r="F495">
        <f t="shared" si="15"/>
        <v>1.0079342622699419</v>
      </c>
    </row>
    <row r="496" spans="1:6">
      <c r="A496" s="2">
        <v>46010</v>
      </c>
      <c r="B496">
        <v>46.013809204101563</v>
      </c>
      <c r="C496">
        <f t="shared" si="14"/>
        <v>0.99764653805375525</v>
      </c>
      <c r="E496">
        <v>6834.5</v>
      </c>
      <c r="F496">
        <f t="shared" si="15"/>
        <v>1.0088180594503322</v>
      </c>
    </row>
    <row r="497" spans="1:6">
      <c r="A497" s="2">
        <v>46013</v>
      </c>
      <c r="B497">
        <v>46.211166381835938</v>
      </c>
      <c r="C497">
        <f t="shared" si="14"/>
        <v>1.0042890858450551</v>
      </c>
      <c r="E497">
        <v>6878.490234375</v>
      </c>
      <c r="F497">
        <f t="shared" si="15"/>
        <v>1.0064364963603776</v>
      </c>
    </row>
    <row r="498" spans="1:6">
      <c r="A498" s="2">
        <v>46014</v>
      </c>
      <c r="B498">
        <v>46.842708587646477</v>
      </c>
      <c r="C498">
        <f t="shared" si="14"/>
        <v>1.01366644158237</v>
      </c>
      <c r="E498">
        <v>6909.7900390625</v>
      </c>
      <c r="F498">
        <f t="shared" si="15"/>
        <v>1.0045503887657032</v>
      </c>
    </row>
    <row r="499" spans="1:6">
      <c r="A499" s="2">
        <v>46015</v>
      </c>
      <c r="B499">
        <v>46.822971343994141</v>
      </c>
      <c r="C499">
        <f t="shared" si="14"/>
        <v>0.99957864854003042</v>
      </c>
      <c r="E499">
        <v>6932.0498046875</v>
      </c>
      <c r="F499">
        <f t="shared" si="15"/>
        <v>1.0032214822012189</v>
      </c>
    </row>
    <row r="500" spans="1:6">
      <c r="A500" s="2">
        <v>46017</v>
      </c>
      <c r="B500">
        <v>46.901912689208977</v>
      </c>
      <c r="C500">
        <f t="shared" si="14"/>
        <v>1.0016859533461659</v>
      </c>
      <c r="E500">
        <v>6929.93994140625</v>
      </c>
      <c r="F500">
        <f t="shared" si="15"/>
        <v>0.99969563645087733</v>
      </c>
    </row>
    <row r="501" spans="1:6">
      <c r="A501" s="2">
        <v>46020</v>
      </c>
      <c r="B501">
        <v>47.099269866943359</v>
      </c>
      <c r="C501">
        <f t="shared" si="14"/>
        <v>1.0042078705625963</v>
      </c>
      <c r="E501">
        <v>6905.740234375</v>
      </c>
      <c r="F501">
        <f t="shared" si="15"/>
        <v>0.99650794851963187</v>
      </c>
    </row>
    <row r="502" spans="1:6">
      <c r="A502" s="2">
        <v>46021</v>
      </c>
      <c r="B502">
        <v>47.415042877197273</v>
      </c>
      <c r="C502">
        <f t="shared" si="14"/>
        <v>1.0067044141267154</v>
      </c>
      <c r="E502">
        <v>6896.240234375</v>
      </c>
      <c r="F502">
        <f t="shared" si="15"/>
        <v>0.99862433284809771</v>
      </c>
    </row>
    <row r="503" spans="1:6">
      <c r="A503" s="2">
        <v>46022</v>
      </c>
      <c r="B503">
        <v>47.197952270507813</v>
      </c>
      <c r="C503">
        <f t="shared" si="14"/>
        <v>0.99542148243434658</v>
      </c>
      <c r="E503">
        <v>6845.5</v>
      </c>
      <c r="F503">
        <f t="shared" si="15"/>
        <v>0.99264233369915389</v>
      </c>
    </row>
    <row r="504" spans="1:6">
      <c r="A504" s="2">
        <v>46024</v>
      </c>
      <c r="B504">
        <v>47.484115600585938</v>
      </c>
      <c r="C504">
        <f t="shared" si="14"/>
        <v>1.0060630454566764</v>
      </c>
      <c r="E504">
        <v>6858.47021484375</v>
      </c>
      <c r="F504">
        <f t="shared" si="15"/>
        <v>1.00189470671883</v>
      </c>
    </row>
    <row r="505" spans="1:6">
      <c r="A505" s="2">
        <v>46027</v>
      </c>
      <c r="B505">
        <v>45.964469909667969</v>
      </c>
      <c r="C505">
        <f t="shared" si="14"/>
        <v>0.96799675698499865</v>
      </c>
      <c r="E505">
        <v>6902.0498046875</v>
      </c>
      <c r="F505">
        <f t="shared" si="15"/>
        <v>1.0063541268648264</v>
      </c>
    </row>
    <row r="506" spans="1:6">
      <c r="A506" s="2">
        <v>46028</v>
      </c>
      <c r="B506">
        <v>45.096096038818359</v>
      </c>
      <c r="C506">
        <f t="shared" si="14"/>
        <v>0.98110771488159898</v>
      </c>
      <c r="E506">
        <v>6944.81982421875</v>
      </c>
      <c r="F506">
        <f t="shared" si="15"/>
        <v>1.0061967126783413</v>
      </c>
    </row>
    <row r="507" spans="1:6">
      <c r="A507" s="2">
        <v>46029</v>
      </c>
      <c r="B507">
        <v>44.632305145263672</v>
      </c>
      <c r="C507">
        <f t="shared" si="14"/>
        <v>0.98971549791903357</v>
      </c>
      <c r="E507">
        <v>6920.93017578125</v>
      </c>
      <c r="F507">
        <f t="shared" si="15"/>
        <v>0.99656007656898604</v>
      </c>
    </row>
    <row r="508" spans="1:6">
      <c r="A508" s="2">
        <v>46030</v>
      </c>
      <c r="B508">
        <v>44.691513061523438</v>
      </c>
      <c r="C508">
        <f t="shared" si="14"/>
        <v>1.0013265708788077</v>
      </c>
      <c r="E508">
        <v>6921.4599609375</v>
      </c>
      <c r="F508">
        <f t="shared" si="15"/>
        <v>1.0000765482590914</v>
      </c>
    </row>
    <row r="509" spans="1:6">
      <c r="A509" s="2">
        <v>46031</v>
      </c>
      <c r="B509">
        <v>45.027023315429688</v>
      </c>
      <c r="C509">
        <f t="shared" si="14"/>
        <v>1.0075072475940652</v>
      </c>
      <c r="E509">
        <v>6966.27978515625</v>
      </c>
      <c r="F509">
        <f t="shared" si="15"/>
        <v>1.0064754870318833</v>
      </c>
    </row>
    <row r="510" spans="1:6">
      <c r="A510" s="2">
        <v>46034</v>
      </c>
      <c r="B510">
        <v>45.253982543945313</v>
      </c>
      <c r="C510">
        <f t="shared" si="14"/>
        <v>1.0050405114929695</v>
      </c>
      <c r="E510">
        <v>6977.27001953125</v>
      </c>
      <c r="F510">
        <f t="shared" si="15"/>
        <v>1.0015776332151369</v>
      </c>
    </row>
    <row r="511" spans="1:6">
      <c r="A511" s="2">
        <v>46035</v>
      </c>
      <c r="B511">
        <v>45.727638244628913</v>
      </c>
      <c r="C511">
        <f t="shared" si="14"/>
        <v>1.0104666081095435</v>
      </c>
      <c r="E511">
        <v>6963.740234375</v>
      </c>
      <c r="F511">
        <f t="shared" si="15"/>
        <v>0.99806087694494028</v>
      </c>
    </row>
    <row r="512" spans="1:6">
      <c r="A512" s="2">
        <v>46036</v>
      </c>
      <c r="B512">
        <v>45.954597473144531</v>
      </c>
      <c r="C512">
        <f t="shared" si="14"/>
        <v>1.0049632834151954</v>
      </c>
      <c r="E512">
        <v>6926.60009765625</v>
      </c>
      <c r="F512">
        <f t="shared" si="15"/>
        <v>0.99466663955450041</v>
      </c>
    </row>
    <row r="513" spans="1:6">
      <c r="A513" s="2">
        <v>46037</v>
      </c>
      <c r="B513">
        <v>46.191429138183587</v>
      </c>
      <c r="C513">
        <f t="shared" si="14"/>
        <v>1.005153601120703</v>
      </c>
      <c r="E513">
        <v>6944.47021484375</v>
      </c>
      <c r="F513">
        <f t="shared" si="15"/>
        <v>1.0025799262171273</v>
      </c>
    </row>
    <row r="514" spans="1:6">
      <c r="A514" s="2">
        <v>46038</v>
      </c>
      <c r="B514">
        <v>46.96112060546875</v>
      </c>
      <c r="C514">
        <f t="shared" si="14"/>
        <v>1.016663079745435</v>
      </c>
      <c r="E514">
        <v>6940.009765625</v>
      </c>
      <c r="F514">
        <f t="shared" si="15"/>
        <v>0.99935769769604366</v>
      </c>
    </row>
    <row r="515" spans="1:6">
      <c r="A515" s="2">
        <v>46042</v>
      </c>
      <c r="B515">
        <v>46.5072021484375</v>
      </c>
      <c r="C515">
        <f t="shared" si="14"/>
        <v>0.99033416470520952</v>
      </c>
      <c r="E515">
        <v>6796.85986328125</v>
      </c>
      <c r="F515">
        <f t="shared" si="15"/>
        <v>0.97937324194372255</v>
      </c>
    </row>
    <row r="516" spans="1:6">
      <c r="A516" s="2">
        <v>46043</v>
      </c>
      <c r="B516">
        <v>46.665084838867188</v>
      </c>
      <c r="C516">
        <f t="shared" ref="C516:C554" si="16">B516/B515</f>
        <v>1.0033948008724707</v>
      </c>
      <c r="E516">
        <v>6875.6201171875</v>
      </c>
      <c r="F516">
        <f t="shared" ref="F516:F554" si="17">E516/E515</f>
        <v>1.0115877413232746</v>
      </c>
    </row>
    <row r="517" spans="1:6">
      <c r="A517" s="2">
        <v>46044</v>
      </c>
      <c r="B517">
        <v>46.852573394775391</v>
      </c>
      <c r="C517">
        <f t="shared" si="16"/>
        <v>1.0040177480991537</v>
      </c>
      <c r="E517">
        <v>6913.35009765625</v>
      </c>
      <c r="F517">
        <f t="shared" si="17"/>
        <v>1.0054875021926288</v>
      </c>
    </row>
    <row r="518" spans="1:6">
      <c r="A518" s="2">
        <v>46045</v>
      </c>
      <c r="B518">
        <v>47.563060760498047</v>
      </c>
      <c r="C518">
        <f t="shared" si="16"/>
        <v>1.0151643189315591</v>
      </c>
      <c r="E518">
        <v>6915.60986328125</v>
      </c>
      <c r="F518">
        <f t="shared" si="17"/>
        <v>1.0003268698377892</v>
      </c>
    </row>
    <row r="519" spans="1:6">
      <c r="A519" s="2">
        <v>46048</v>
      </c>
      <c r="B519">
        <v>47.247287750244141</v>
      </c>
      <c r="C519">
        <f t="shared" si="16"/>
        <v>0.99336096110710859</v>
      </c>
      <c r="E519">
        <v>6950.22998046875</v>
      </c>
      <c r="F519">
        <f t="shared" si="17"/>
        <v>1.0050060830312764</v>
      </c>
    </row>
    <row r="520" spans="1:6">
      <c r="A520" s="2">
        <v>46049</v>
      </c>
      <c r="B520">
        <v>47.38543701171875</v>
      </c>
      <c r="C520">
        <f t="shared" si="16"/>
        <v>1.0029239617352192</v>
      </c>
      <c r="E520">
        <v>6978.60009765625</v>
      </c>
      <c r="F520">
        <f t="shared" si="17"/>
        <v>1.0040818961771372</v>
      </c>
    </row>
    <row r="521" spans="1:6">
      <c r="A521" s="2">
        <v>46050</v>
      </c>
      <c r="B521">
        <v>47.918304443359382</v>
      </c>
      <c r="C521">
        <f t="shared" si="16"/>
        <v>1.0112453839247879</v>
      </c>
      <c r="E521">
        <v>6978.02978515625</v>
      </c>
      <c r="F521">
        <f t="shared" si="17"/>
        <v>0.9999182769478091</v>
      </c>
    </row>
    <row r="522" spans="1:6">
      <c r="A522" s="2">
        <v>46051</v>
      </c>
      <c r="B522">
        <v>48.589317321777337</v>
      </c>
      <c r="C522">
        <f t="shared" si="16"/>
        <v>1.0140032684005151</v>
      </c>
      <c r="E522">
        <v>6969.009765625</v>
      </c>
      <c r="F522">
        <f t="shared" si="17"/>
        <v>0.99870736872599231</v>
      </c>
    </row>
    <row r="523" spans="1:6">
      <c r="A523" s="2">
        <v>46052</v>
      </c>
      <c r="B523">
        <v>48.194602966308587</v>
      </c>
      <c r="C523">
        <f t="shared" si="16"/>
        <v>0.99187651983552683</v>
      </c>
      <c r="E523">
        <v>6939.02978515625</v>
      </c>
      <c r="F523">
        <f t="shared" si="17"/>
        <v>0.99569810037910578</v>
      </c>
    </row>
    <row r="524" spans="1:6">
      <c r="A524" s="2">
        <v>46055</v>
      </c>
      <c r="B524">
        <v>47.642002105712891</v>
      </c>
      <c r="C524">
        <f t="shared" si="16"/>
        <v>0.98853396798429893</v>
      </c>
      <c r="E524">
        <v>6976.43994140625</v>
      </c>
      <c r="F524">
        <f t="shared" si="17"/>
        <v>1.005391266129168</v>
      </c>
    </row>
    <row r="525" spans="1:6">
      <c r="A525" s="2">
        <v>46056</v>
      </c>
      <c r="B525">
        <v>48.678127288818359</v>
      </c>
      <c r="C525">
        <f t="shared" si="16"/>
        <v>1.0217481452774888</v>
      </c>
      <c r="E525">
        <v>6917.81005859375</v>
      </c>
      <c r="F525">
        <f t="shared" si="17"/>
        <v>0.99159601697930166</v>
      </c>
    </row>
    <row r="526" spans="1:6">
      <c r="A526" s="2">
        <v>46057</v>
      </c>
      <c r="B526">
        <v>49.497158050537109</v>
      </c>
      <c r="C526">
        <f t="shared" si="16"/>
        <v>1.0168254369536291</v>
      </c>
      <c r="E526">
        <v>6882.72021484375</v>
      </c>
      <c r="F526">
        <f t="shared" si="17"/>
        <v>0.99492760809377689</v>
      </c>
    </row>
    <row r="527" spans="1:6">
      <c r="A527" s="2">
        <v>46058</v>
      </c>
      <c r="B527">
        <v>49.822799682617188</v>
      </c>
      <c r="C527">
        <f t="shared" si="16"/>
        <v>1.006578996550622</v>
      </c>
      <c r="E527">
        <v>6798.39990234375</v>
      </c>
      <c r="F527">
        <f t="shared" si="17"/>
        <v>0.98774898443232528</v>
      </c>
    </row>
    <row r="528" spans="1:6">
      <c r="A528" s="2">
        <v>46059</v>
      </c>
      <c r="B528">
        <v>49.655044555664063</v>
      </c>
      <c r="C528">
        <f t="shared" si="16"/>
        <v>0.99663296466634221</v>
      </c>
      <c r="E528">
        <v>6932.2998046875</v>
      </c>
      <c r="F528">
        <f t="shared" si="17"/>
        <v>1.0196957966973359</v>
      </c>
    </row>
    <row r="529" spans="1:6">
      <c r="A529" s="2">
        <v>46062</v>
      </c>
      <c r="B529">
        <v>49.960948944091797</v>
      </c>
      <c r="C529">
        <f t="shared" si="16"/>
        <v>1.0061605903522011</v>
      </c>
      <c r="E529">
        <v>6964.81982421875</v>
      </c>
      <c r="F529">
        <f t="shared" si="17"/>
        <v>1.0046910867168872</v>
      </c>
    </row>
    <row r="530" spans="1:6">
      <c r="A530" s="2">
        <v>46063</v>
      </c>
      <c r="B530">
        <v>50.414871215820313</v>
      </c>
      <c r="C530">
        <f t="shared" si="16"/>
        <v>1.0090855414343005</v>
      </c>
      <c r="E530">
        <v>6941.81005859375</v>
      </c>
      <c r="F530">
        <f t="shared" si="17"/>
        <v>0.99669628702454183</v>
      </c>
    </row>
    <row r="531" spans="1:6">
      <c r="A531" s="2">
        <v>46064</v>
      </c>
      <c r="B531">
        <v>50.868789672851563</v>
      </c>
      <c r="C531">
        <f t="shared" si="16"/>
        <v>1.0090036619371312</v>
      </c>
      <c r="E531">
        <v>6941.47021484375</v>
      </c>
      <c r="F531">
        <f t="shared" si="17"/>
        <v>0.99995104392843781</v>
      </c>
    </row>
    <row r="532" spans="1:6">
      <c r="A532" s="2">
        <v>46065</v>
      </c>
      <c r="B532">
        <v>51.154960632324219</v>
      </c>
      <c r="C532">
        <f t="shared" si="16"/>
        <v>1.0056256687315166</v>
      </c>
      <c r="E532">
        <v>6832.759765625</v>
      </c>
      <c r="F532">
        <f t="shared" si="17"/>
        <v>0.98433898787229801</v>
      </c>
    </row>
    <row r="533" spans="1:6">
      <c r="A533" s="2">
        <v>46066</v>
      </c>
      <c r="B533">
        <v>53.168003082275391</v>
      </c>
      <c r="C533">
        <f t="shared" si="16"/>
        <v>1.0393518521970899</v>
      </c>
      <c r="E533">
        <v>6836.169921875</v>
      </c>
      <c r="F533">
        <f t="shared" si="17"/>
        <v>1.0004990891480126</v>
      </c>
    </row>
    <row r="534" spans="1:6">
      <c r="A534" s="2">
        <v>46070</v>
      </c>
      <c r="B534">
        <v>51.439998626708977</v>
      </c>
      <c r="C534">
        <f t="shared" si="16"/>
        <v>0.9674991657502654</v>
      </c>
      <c r="E534">
        <v>6843.22021484375</v>
      </c>
      <c r="F534">
        <f t="shared" si="17"/>
        <v>1.0010313220779066</v>
      </c>
    </row>
    <row r="535" spans="1:6">
      <c r="A535" s="2">
        <v>46071</v>
      </c>
      <c r="B535">
        <v>50.889999389648438</v>
      </c>
      <c r="C535">
        <f t="shared" si="16"/>
        <v>0.98930794611695483</v>
      </c>
      <c r="E535">
        <v>6881.31005859375</v>
      </c>
      <c r="F535">
        <f t="shared" si="17"/>
        <v>1.0055660701474107</v>
      </c>
    </row>
    <row r="536" spans="1:6">
      <c r="A536" s="2">
        <v>46072</v>
      </c>
      <c r="B536">
        <v>51.590000152587891</v>
      </c>
      <c r="C536">
        <f t="shared" si="16"/>
        <v>1.0137551733412251</v>
      </c>
      <c r="E536">
        <v>6861.89013671875</v>
      </c>
      <c r="F536">
        <f t="shared" si="17"/>
        <v>0.99717787431322802</v>
      </c>
    </row>
    <row r="537" spans="1:6">
      <c r="A537" s="2">
        <v>46073</v>
      </c>
      <c r="B537">
        <v>51.520000457763672</v>
      </c>
      <c r="C537">
        <f t="shared" si="16"/>
        <v>0.99864315381629809</v>
      </c>
      <c r="E537">
        <v>6909.509765625</v>
      </c>
      <c r="F537">
        <f t="shared" si="17"/>
        <v>1.0069397247635068</v>
      </c>
    </row>
    <row r="538" spans="1:6">
      <c r="A538" s="2">
        <v>46076</v>
      </c>
      <c r="B538">
        <v>52.349998474121087</v>
      </c>
      <c r="C538">
        <f t="shared" si="16"/>
        <v>1.0161102098016837</v>
      </c>
      <c r="E538">
        <v>6837.75</v>
      </c>
      <c r="F538">
        <f t="shared" si="17"/>
        <v>0.98961434775271517</v>
      </c>
    </row>
    <row r="539" spans="1:6">
      <c r="A539" s="2">
        <v>46077</v>
      </c>
      <c r="B539">
        <v>52.400001525878913</v>
      </c>
      <c r="C539">
        <f t="shared" si="16"/>
        <v>1.0009551681607507</v>
      </c>
      <c r="E539">
        <v>6890.06982421875</v>
      </c>
      <c r="F539">
        <f t="shared" si="17"/>
        <v>1.0076516140863223</v>
      </c>
    </row>
    <row r="540" spans="1:6">
      <c r="A540" s="2">
        <v>46078</v>
      </c>
      <c r="B540">
        <v>52.409999847412109</v>
      </c>
      <c r="C540">
        <f t="shared" si="16"/>
        <v>1.000190807657291</v>
      </c>
      <c r="E540">
        <v>6946.1298828125</v>
      </c>
      <c r="F540">
        <f t="shared" si="17"/>
        <v>1.0081363556573399</v>
      </c>
    </row>
    <row r="541" spans="1:6">
      <c r="A541" s="2">
        <v>46079</v>
      </c>
      <c r="B541">
        <v>52.25</v>
      </c>
      <c r="C541">
        <f t="shared" si="16"/>
        <v>0.9969471503934757</v>
      </c>
      <c r="E541">
        <v>6908.85986328125</v>
      </c>
      <c r="F541">
        <f t="shared" si="17"/>
        <v>0.99463441943067166</v>
      </c>
    </row>
    <row r="542" spans="1:6">
      <c r="A542" s="2">
        <v>46080</v>
      </c>
      <c r="B542">
        <v>53.139999389648438</v>
      </c>
      <c r="C542">
        <f t="shared" si="16"/>
        <v>1.0170334811415969</v>
      </c>
      <c r="E542">
        <v>6878.8798828125</v>
      </c>
      <c r="F542">
        <f t="shared" si="17"/>
        <v>0.99566064718896885</v>
      </c>
    </row>
    <row r="543" spans="1:6">
      <c r="A543" s="2">
        <v>46083</v>
      </c>
      <c r="B543">
        <v>53.959999084472663</v>
      </c>
      <c r="C543">
        <f t="shared" si="16"/>
        <v>1.0154309315815302</v>
      </c>
      <c r="E543">
        <v>6881.6201171875</v>
      </c>
      <c r="F543">
        <f t="shared" si="17"/>
        <v>1.0003983547353177</v>
      </c>
    </row>
    <row r="544" spans="1:6">
      <c r="A544" s="2">
        <v>46084</v>
      </c>
      <c r="B544">
        <v>54.330001831054688</v>
      </c>
      <c r="C544">
        <f t="shared" si="16"/>
        <v>1.0068569820767195</v>
      </c>
      <c r="E544">
        <v>6816.6298828125</v>
      </c>
      <c r="F544">
        <f t="shared" si="17"/>
        <v>0.99055596890437458</v>
      </c>
    </row>
    <row r="545" spans="1:6">
      <c r="A545" s="2">
        <v>46085</v>
      </c>
      <c r="B545">
        <v>54.169998168945313</v>
      </c>
      <c r="C545">
        <f t="shared" si="16"/>
        <v>0.99705496674550231</v>
      </c>
      <c r="E545">
        <v>6869.5</v>
      </c>
      <c r="F545">
        <f t="shared" si="17"/>
        <v>1.0077560492642863</v>
      </c>
    </row>
    <row r="546" spans="1:6">
      <c r="A546" s="2">
        <v>46086</v>
      </c>
      <c r="B546">
        <v>53.880001068115227</v>
      </c>
      <c r="C546">
        <f t="shared" si="16"/>
        <v>0.99464653663222136</v>
      </c>
      <c r="E546">
        <v>6830.7099609375</v>
      </c>
      <c r="F546">
        <f t="shared" si="17"/>
        <v>0.99435329513610893</v>
      </c>
    </row>
    <row r="547" spans="1:6">
      <c r="A547" s="2">
        <v>46087</v>
      </c>
      <c r="B547">
        <v>54.060001373291023</v>
      </c>
      <c r="C547">
        <f t="shared" si="16"/>
        <v>1.0033407628360704</v>
      </c>
      <c r="E547">
        <v>6740.02001953125</v>
      </c>
      <c r="F547">
        <f t="shared" si="17"/>
        <v>0.98672320418743076</v>
      </c>
    </row>
    <row r="548" spans="1:6">
      <c r="A548" s="2">
        <v>46090</v>
      </c>
      <c r="B548">
        <v>53.939998626708977</v>
      </c>
      <c r="C548">
        <f t="shared" si="16"/>
        <v>0.99778019342335178</v>
      </c>
      <c r="E548">
        <v>6795.990234375</v>
      </c>
      <c r="F548">
        <f t="shared" si="17"/>
        <v>1.0083041615131052</v>
      </c>
    </row>
    <row r="549" spans="1:6">
      <c r="A549" s="2">
        <v>46091</v>
      </c>
      <c r="B549">
        <v>53.700000762939453</v>
      </c>
      <c r="C549">
        <f t="shared" si="16"/>
        <v>0.99555065128142795</v>
      </c>
      <c r="E549">
        <v>6781.47998046875</v>
      </c>
      <c r="F549">
        <f t="shared" si="17"/>
        <v>0.99786488011226748</v>
      </c>
    </row>
    <row r="550" spans="1:6">
      <c r="A550" s="2">
        <v>46092</v>
      </c>
      <c r="B550">
        <v>53.639999389648438</v>
      </c>
      <c r="C550">
        <f t="shared" si="16"/>
        <v>0.99888265600673087</v>
      </c>
      <c r="E550">
        <v>6775.7998046875</v>
      </c>
      <c r="F550">
        <f t="shared" si="17"/>
        <v>0.99916239879825508</v>
      </c>
    </row>
    <row r="551" spans="1:6">
      <c r="A551" s="2">
        <v>46093</v>
      </c>
      <c r="B551">
        <v>53.630001068115227</v>
      </c>
      <c r="C551">
        <f t="shared" si="16"/>
        <v>0.99981360325042923</v>
      </c>
      <c r="E551">
        <v>6672.6201171875</v>
      </c>
      <c r="F551">
        <f t="shared" si="17"/>
        <v>0.98477232349329147</v>
      </c>
    </row>
    <row r="552" spans="1:6">
      <c r="A552" s="2">
        <v>46094</v>
      </c>
      <c r="B552">
        <v>54.080001831054688</v>
      </c>
      <c r="C552">
        <f t="shared" si="16"/>
        <v>1.0083908400890746</v>
      </c>
      <c r="E552">
        <v>6632.18994140625</v>
      </c>
      <c r="F552">
        <f t="shared" si="17"/>
        <v>0.99394088452943563</v>
      </c>
    </row>
    <row r="553" spans="1:6">
      <c r="A553" s="2">
        <v>46097</v>
      </c>
      <c r="B553">
        <v>54.540000915527337</v>
      </c>
      <c r="C553">
        <f t="shared" si="16"/>
        <v>1.0085058999426384</v>
      </c>
      <c r="E553">
        <v>6699.3798828125</v>
      </c>
      <c r="F553">
        <f t="shared" si="17"/>
        <v>1.010130883162252</v>
      </c>
    </row>
    <row r="554" spans="1:6">
      <c r="A554" s="2">
        <v>46098</v>
      </c>
      <c r="B554">
        <v>54.049999237060547</v>
      </c>
      <c r="C554">
        <f t="shared" si="16"/>
        <v>0.99101573761933537</v>
      </c>
      <c r="E554">
        <v>6716.08984375</v>
      </c>
      <c r="F554">
        <f t="shared" si="17"/>
        <v>1.0024942548757938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ENB Stock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Dev</cp:lastModifiedBy>
  <dcterms:created xsi:type="dcterms:W3CDTF">2026-03-18T01:24:03Z</dcterms:created>
  <dcterms:modified xsi:type="dcterms:W3CDTF">2026-04-03T15:04:54Z</dcterms:modified>
</cp:coreProperties>
</file>